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第一年" sheetId="1" r:id="rId1"/>
    <sheet name="第二年" sheetId="2" r:id="rId2"/>
    <sheet name="第三年" sheetId="3" r:id="rId3"/>
    <sheet name="第四年" sheetId="4" r:id="rId4"/>
    <sheet name="原材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<sst xmlns="http://schemas.openxmlformats.org/spreadsheetml/2006/main" count="593" uniqueCount="143">
  <si>
    <t>第一季</t>
  </si>
  <si>
    <t>第二季</t>
  </si>
  <si>
    <t>第三季</t>
  </si>
  <si>
    <t>第四季</t>
  </si>
  <si>
    <t>综合费用表</t>
  </si>
  <si>
    <t>利润表</t>
  </si>
  <si>
    <t>资产负债表</t>
  </si>
  <si>
    <t>长短贷</t>
  </si>
  <si>
    <t>期初</t>
  </si>
  <si>
    <t>维护</t>
  </si>
  <si>
    <t>管理</t>
  </si>
  <si>
    <t>销售收入</t>
  </si>
  <si>
    <t>现金</t>
  </si>
  <si>
    <t>长贷</t>
  </si>
  <si>
    <t>期初现金</t>
  </si>
  <si>
    <t>广告</t>
  </si>
  <si>
    <t>直接成本</t>
  </si>
  <si>
    <t>应收款</t>
  </si>
  <si>
    <t>短贷</t>
  </si>
  <si>
    <t>裁判融资</t>
  </si>
  <si>
    <t>毛利</t>
  </si>
  <si>
    <t>在制品</t>
  </si>
  <si>
    <t>其他应付款</t>
  </si>
  <si>
    <t>融资</t>
  </si>
  <si>
    <t>财务总监</t>
  </si>
  <si>
    <t>转产</t>
  </si>
  <si>
    <t>综合管理费用</t>
  </si>
  <si>
    <t>产成品</t>
  </si>
  <si>
    <t>税</t>
  </si>
  <si>
    <t>贴现</t>
  </si>
  <si>
    <t>市场</t>
  </si>
  <si>
    <t>折旧前利润</t>
  </si>
  <si>
    <t>原材料</t>
  </si>
  <si>
    <t>负债合计</t>
  </si>
  <si>
    <t>贴现利率</t>
  </si>
  <si>
    <t>贴息</t>
  </si>
  <si>
    <t>研发</t>
  </si>
  <si>
    <t>折旧</t>
  </si>
  <si>
    <t>流动资产合计</t>
  </si>
  <si>
    <t>股东资本</t>
  </si>
  <si>
    <t>ISO</t>
  </si>
  <si>
    <t>息前利润</t>
  </si>
  <si>
    <t>机器与设备</t>
  </si>
  <si>
    <t>利润留存</t>
  </si>
  <si>
    <t>信息费</t>
  </si>
  <si>
    <t>财务费用</t>
  </si>
  <si>
    <t>在建工程</t>
  </si>
  <si>
    <t>年度净利</t>
  </si>
  <si>
    <t>设计图纸</t>
  </si>
  <si>
    <t>营业外支出</t>
  </si>
  <si>
    <t>固定资产合计</t>
  </si>
  <si>
    <t>权益</t>
  </si>
  <si>
    <t>还长贷</t>
  </si>
  <si>
    <t>辞退培训</t>
  </si>
  <si>
    <t>税前利润</t>
  </si>
  <si>
    <t>合计</t>
  </si>
  <si>
    <t>还短贷</t>
  </si>
  <si>
    <t>激励</t>
  </si>
  <si>
    <t>所得税</t>
  </si>
  <si>
    <t>/</t>
  </si>
  <si>
    <t>还融资</t>
  </si>
  <si>
    <t>人力费</t>
  </si>
  <si>
    <t>净利润</t>
  </si>
  <si>
    <t>碳中和</t>
  </si>
  <si>
    <t>特性研发</t>
  </si>
  <si>
    <t>长待利息</t>
  </si>
  <si>
    <t>数字化</t>
  </si>
  <si>
    <t>短贷利息</t>
  </si>
  <si>
    <t>融资利息</t>
  </si>
  <si>
    <t>违约</t>
  </si>
  <si>
    <t>营销总监</t>
  </si>
  <si>
    <t>产品</t>
  </si>
  <si>
    <t>iso</t>
  </si>
  <si>
    <t>预算</t>
  </si>
  <si>
    <t>生产总监</t>
  </si>
  <si>
    <t>建线</t>
  </si>
  <si>
    <t>原料入库</t>
  </si>
  <si>
    <t>计件工资</t>
  </si>
  <si>
    <t>特性</t>
  </si>
  <si>
    <t>产品零售</t>
  </si>
  <si>
    <t>原料出售</t>
  </si>
  <si>
    <t>人力资源</t>
  </si>
  <si>
    <t>人员季薪</t>
  </si>
  <si>
    <t>培训人员</t>
  </si>
  <si>
    <t>激励解雇</t>
  </si>
  <si>
    <t>下季薪水</t>
  </si>
  <si>
    <t>期末</t>
  </si>
  <si>
    <t>总支出</t>
  </si>
  <si>
    <t>市场资质</t>
  </si>
  <si>
    <t>产品资质</t>
  </si>
  <si>
    <t>原料成本</t>
  </si>
  <si>
    <t>产品构成</t>
  </si>
  <si>
    <t>R1</t>
  </si>
  <si>
    <t>R2</t>
  </si>
  <si>
    <t>R3</t>
  </si>
  <si>
    <t>R4</t>
  </si>
  <si>
    <t>R5</t>
  </si>
  <si>
    <t>P1</t>
  </si>
  <si>
    <t>P2</t>
  </si>
  <si>
    <t>P3</t>
  </si>
  <si>
    <t>P4</t>
  </si>
  <si>
    <t>成本</t>
  </si>
  <si>
    <t>p1</t>
  </si>
  <si>
    <t>p2</t>
  </si>
  <si>
    <t>p3</t>
  </si>
  <si>
    <t>p4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</si>
  <si>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n1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</si>
  <si>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n2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</si>
  <si>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n3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</si>
  <si>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n4</t>
    </r>
  </si>
  <si>
    <t>2n1</t>
  </si>
  <si>
    <t>2n2</t>
  </si>
  <si>
    <t>2n3</t>
  </si>
  <si>
    <t>2n4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</si>
  <si>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n1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</si>
  <si>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n2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</si>
  <si>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n3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</si>
  <si>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n4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</si>
  <si>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n1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</si>
  <si>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n2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</si>
  <si>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n3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</si>
  <si>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n4</t>
    </r>
  </si>
  <si>
    <t>线</t>
  </si>
  <si>
    <t>基础产能</t>
  </si>
  <si>
    <t>初级工人</t>
  </si>
  <si>
    <t>高级工人</t>
  </si>
  <si>
    <t>工时
（下拉）</t>
  </si>
  <si>
    <t>班次</t>
  </si>
  <si>
    <t>产能</t>
  </si>
  <si>
    <t>制造费用</t>
  </si>
  <si>
    <t>传统线</t>
  </si>
  <si>
    <t>一年</t>
  </si>
  <si>
    <t>两年</t>
  </si>
  <si>
    <t>三年</t>
  </si>
  <si>
    <t>四年</t>
  </si>
  <si>
    <t>效率</t>
  </si>
  <si>
    <t>需要激励</t>
  </si>
  <si>
    <t>初级</t>
  </si>
  <si>
    <t>高级</t>
  </si>
  <si>
    <t>辞退福利</t>
  </si>
  <si>
    <t>自动线</t>
  </si>
  <si>
    <t>智能线</t>
  </si>
  <si>
    <t>总工资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</si>
</sst>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1" tint="0.499984740745262"/>
        <bgColor rgb="FFFFFFCC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rgb="FFFFFFCC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099917600024414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51170384838"/>
        <bgColor rgb="FFFFFFCC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E0EFF5"/>
        <bgColor indexed="64"/>
      </patternFill>
    </fill>
    <fill>
      <patternFill patternType="solid">
        <fgColor rgb="FFE9EF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7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8" borderId="22" applyNumberFormat="0" applyAlignment="0" applyProtection="0">
      <alignment vertical="center"/>
    </xf>
    <xf numFmtId="0" fontId="12" fillId="19" borderId="23" applyNumberFormat="0" applyAlignment="0" applyProtection="0">
      <alignment vertical="center"/>
    </xf>
    <xf numFmtId="0" fontId="13" fillId="19" borderId="22" applyNumberFormat="0" applyAlignment="0" applyProtection="0">
      <alignment vertical="center"/>
    </xf>
    <xf numFmtId="0" fontId="14" fillId="20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1" xfId="0" applyFont="1" applyFill="1" applyBorder="1" applyAlignment="1" applyProtection="1">
      <alignment horizontal="center"/>
    </xf>
    <xf numFmtId="0" fontId="0" fillId="0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4" borderId="2" xfId="0" applyFont="1" applyFill="1" applyBorder="1" applyAlignment="1" applyProtection="1">
      <alignment horizontal="center" vertical="center"/>
    </xf>
    <xf numFmtId="0" fontId="0" fillId="4" borderId="3" xfId="0" applyFont="1" applyFill="1" applyBorder="1" applyAlignment="1" applyProtection="1">
      <alignment horizontal="center" vertical="center"/>
    </xf>
    <xf numFmtId="0" fontId="0" fillId="5" borderId="4" xfId="0" applyFont="1" applyFill="1" applyBorder="1" applyAlignment="1" applyProtection="1">
      <alignment horizontal="center" vertical="center"/>
    </xf>
    <xf numFmtId="0" fontId="1" fillId="6" borderId="4" xfId="0" applyFont="1" applyFill="1" applyBorder="1" applyAlignment="1" applyProtection="1">
      <alignment horizontal="center" vertical="center"/>
    </xf>
    <xf numFmtId="0" fontId="0" fillId="6" borderId="4" xfId="0" applyFont="1" applyFill="1" applyBorder="1" applyAlignment="1" applyProtection="1">
      <alignment horizontal="center" vertical="center"/>
    </xf>
    <xf numFmtId="0" fontId="0" fillId="4" borderId="5" xfId="0" applyFont="1" applyFill="1" applyBorder="1" applyAlignment="1" applyProtection="1">
      <alignment horizontal="center" vertical="center"/>
    </xf>
    <xf numFmtId="0" fontId="0" fillId="4" borderId="6" xfId="0" applyFont="1" applyFill="1" applyBorder="1" applyAlignment="1" applyProtection="1">
      <alignment horizontal="center" vertical="center"/>
    </xf>
    <xf numFmtId="0" fontId="0" fillId="5" borderId="1" xfId="0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 applyProtection="1">
      <alignment vertical="center"/>
    </xf>
    <xf numFmtId="0" fontId="0" fillId="4" borderId="5" xfId="0" applyFont="1" applyFill="1" applyBorder="1" applyAlignment="1" applyProtection="1">
      <alignment horizontal="center"/>
    </xf>
    <xf numFmtId="0" fontId="0" fillId="4" borderId="7" xfId="0" applyFont="1" applyFill="1" applyBorder="1" applyAlignment="1" applyProtection="1">
      <alignment horizontal="center"/>
    </xf>
    <xf numFmtId="0" fontId="0" fillId="5" borderId="1" xfId="0" applyFont="1" applyFill="1" applyBorder="1" applyAlignment="1" applyProtection="1"/>
    <xf numFmtId="9" fontId="0" fillId="8" borderId="1" xfId="0" applyNumberFormat="1" applyFont="1" applyFill="1" applyBorder="1" applyAlignment="1" applyProtection="1"/>
    <xf numFmtId="0" fontId="0" fillId="4" borderId="8" xfId="0" applyFont="1" applyFill="1" applyBorder="1" applyAlignment="1" applyProtection="1">
      <alignment horizontal="center"/>
    </xf>
    <xf numFmtId="0" fontId="0" fillId="4" borderId="9" xfId="0" applyFont="1" applyFill="1" applyBorder="1" applyAlignment="1" applyProtection="1">
      <alignment horizontal="center"/>
    </xf>
    <xf numFmtId="0" fontId="0" fillId="9" borderId="1" xfId="0" applyFont="1" applyFill="1" applyBorder="1" applyAlignment="1" applyProtection="1">
      <alignment horizontal="center"/>
    </xf>
    <xf numFmtId="0" fontId="1" fillId="6" borderId="4" xfId="0" applyFont="1" applyFill="1" applyBorder="1" applyAlignment="1" applyProtection="1">
      <alignment horizontal="center" vertical="center" wrapText="1"/>
    </xf>
    <xf numFmtId="0" fontId="0" fillId="10" borderId="4" xfId="0" applyFont="1" applyFill="1" applyBorder="1" applyAlignment="1" applyProtection="1">
      <alignment horizontal="center" vertical="center"/>
    </xf>
    <xf numFmtId="0" fontId="0" fillId="10" borderId="10" xfId="0" applyFont="1" applyFill="1" applyBorder="1" applyAlignment="1" applyProtection="1">
      <alignment horizontal="center" vertical="center"/>
    </xf>
    <xf numFmtId="0" fontId="0" fillId="10" borderId="11" xfId="0" applyFont="1" applyFill="1" applyBorder="1" applyAlignment="1" applyProtection="1">
      <alignment horizontal="center" vertical="center"/>
    </xf>
    <xf numFmtId="0" fontId="0" fillId="11" borderId="0" xfId="0" applyFont="1" applyFill="1" applyAlignment="1">
      <alignment vertical="center"/>
    </xf>
    <xf numFmtId="0" fontId="1" fillId="6" borderId="1" xfId="0" applyFont="1" applyFill="1" applyBorder="1" applyAlignment="1" applyProtection="1">
      <alignment horizontal="center" vertical="center"/>
    </xf>
    <xf numFmtId="0" fontId="0" fillId="10" borderId="1" xfId="0" applyFont="1" applyFill="1" applyBorder="1" applyAlignment="1" applyProtection="1">
      <alignment horizontal="center" vertical="center"/>
    </xf>
    <xf numFmtId="0" fontId="0" fillId="10" borderId="12" xfId="0" applyFont="1" applyFill="1" applyBorder="1" applyAlignment="1" applyProtection="1">
      <alignment horizontal="center" vertical="center"/>
    </xf>
    <xf numFmtId="0" fontId="0" fillId="10" borderId="13" xfId="0" applyFont="1" applyFill="1" applyBorder="1" applyAlignment="1" applyProtection="1">
      <alignment horizontal="center" vertical="center"/>
    </xf>
    <xf numFmtId="0" fontId="0" fillId="12" borderId="1" xfId="0" applyFont="1" applyFill="1" applyBorder="1" applyAlignment="1" applyProtection="1">
      <alignment horizontal="center"/>
    </xf>
    <xf numFmtId="0" fontId="0" fillId="10" borderId="1" xfId="0" applyFont="1" applyFill="1" applyBorder="1" applyAlignment="1" applyProtection="1"/>
    <xf numFmtId="0" fontId="0" fillId="10" borderId="12" xfId="0" applyFont="1" applyFill="1" applyBorder="1" applyAlignment="1" applyProtection="1"/>
    <xf numFmtId="0" fontId="0" fillId="11" borderId="13" xfId="0" applyFont="1" applyFill="1" applyBorder="1" applyAlignment="1" applyProtection="1"/>
    <xf numFmtId="0" fontId="0" fillId="5" borderId="0" xfId="0" applyFont="1" applyFill="1" applyAlignment="1">
      <alignment vertical="center"/>
    </xf>
    <xf numFmtId="0" fontId="0" fillId="10" borderId="14" xfId="0" applyFont="1" applyFill="1" applyBorder="1" applyAlignment="1" applyProtection="1"/>
    <xf numFmtId="0" fontId="0" fillId="0" borderId="0" xfId="0" applyFont="1" applyFill="1" applyAlignment="1"/>
    <xf numFmtId="9" fontId="0" fillId="0" borderId="0" xfId="49" applyFont="1" applyAlignment="1"/>
    <xf numFmtId="9" fontId="0" fillId="0" borderId="0" xfId="0" applyNumberFormat="1" applyFont="1" applyFill="1" applyAlignment="1"/>
    <xf numFmtId="9" fontId="0" fillId="0" borderId="0" xfId="49" applyNumberFormat="1" applyFont="1" applyAlignment="1"/>
    <xf numFmtId="10" fontId="0" fillId="0" borderId="0" xfId="0" applyNumberFormat="1" applyFont="1" applyFill="1" applyAlignment="1"/>
    <xf numFmtId="0" fontId="0" fillId="9" borderId="1" xfId="0" applyFont="1" applyFill="1" applyBorder="1" applyAlignment="1">
      <alignment vertical="center"/>
    </xf>
    <xf numFmtId="0" fontId="0" fillId="13" borderId="1" xfId="0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/>
    </xf>
    <xf numFmtId="0" fontId="0" fillId="9" borderId="14" xfId="0" applyFont="1" applyFill="1" applyBorder="1" applyAlignment="1">
      <alignment horizontal="center" vertical="center" textRotation="255"/>
    </xf>
    <xf numFmtId="176" fontId="2" fillId="9" borderId="1" xfId="0" applyNumberFormat="1" applyFont="1" applyFill="1" applyBorder="1" applyAlignment="1"/>
    <xf numFmtId="0" fontId="0" fillId="9" borderId="15" xfId="0" applyFont="1" applyFill="1" applyBorder="1" applyAlignment="1">
      <alignment horizontal="center" vertical="center" textRotation="255"/>
    </xf>
    <xf numFmtId="0" fontId="0" fillId="14" borderId="1" xfId="0" applyFont="1" applyFill="1" applyBorder="1" applyAlignment="1">
      <alignment vertical="center"/>
    </xf>
    <xf numFmtId="0" fontId="0" fillId="9" borderId="16" xfId="0" applyFont="1" applyFill="1" applyBorder="1" applyAlignment="1">
      <alignment horizontal="center" vertical="center" textRotation="255"/>
    </xf>
    <xf numFmtId="0" fontId="0" fillId="13" borderId="12" xfId="0" applyFont="1" applyFill="1" applyBorder="1" applyAlignment="1">
      <alignment horizontal="center" vertical="center"/>
    </xf>
    <xf numFmtId="0" fontId="0" fillId="9" borderId="17" xfId="0" applyFont="1" applyFill="1" applyBorder="1" applyAlignment="1">
      <alignment horizontal="center" vertical="center" textRotation="255"/>
    </xf>
    <xf numFmtId="0" fontId="0" fillId="13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9" borderId="0" xfId="0" applyFont="1" applyFill="1" applyAlignment="1">
      <alignment horizontal="center" vertical="center" textRotation="255"/>
    </xf>
    <xf numFmtId="0" fontId="0" fillId="15" borderId="1" xfId="0" applyFont="1" applyFill="1" applyBorder="1" applyAlignment="1">
      <alignment vertical="center"/>
    </xf>
    <xf numFmtId="0" fontId="0" fillId="9" borderId="14" xfId="0" applyFont="1" applyFill="1" applyBorder="1" applyAlignment="1">
      <alignment vertical="center" textRotation="255"/>
    </xf>
    <xf numFmtId="0" fontId="0" fillId="9" borderId="15" xfId="0" applyFont="1" applyFill="1" applyBorder="1" applyAlignment="1">
      <alignment vertical="center" textRotation="255"/>
    </xf>
    <xf numFmtId="0" fontId="0" fillId="9" borderId="16" xfId="0" applyFont="1" applyFill="1" applyBorder="1" applyAlignment="1">
      <alignment vertical="center" textRotation="255"/>
    </xf>
    <xf numFmtId="0" fontId="0" fillId="16" borderId="1" xfId="0" applyFont="1" applyFill="1" applyBorder="1" applyAlignment="1">
      <alignment vertical="center"/>
    </xf>
    <xf numFmtId="0" fontId="0" fillId="14" borderId="7" xfId="0" applyFont="1" applyFill="1" applyBorder="1" applyAlignment="1">
      <alignment vertical="center"/>
    </xf>
    <xf numFmtId="176" fontId="2" fillId="9" borderId="12" xfId="0" applyNumberFormat="1" applyFont="1" applyFill="1" applyBorder="1" applyAlignment="1">
      <alignment horizontal="center"/>
    </xf>
    <xf numFmtId="176" fontId="2" fillId="9" borderId="7" xfId="0" applyNumberFormat="1" applyFont="1" applyFill="1" applyBorder="1" applyAlignment="1">
      <alignment horizontal="center"/>
    </xf>
    <xf numFmtId="176" fontId="2" fillId="9" borderId="18" xfId="0" applyNumberFormat="1" applyFont="1" applyFill="1" applyBorder="1" applyAlignment="1">
      <alignment horizontal="center"/>
    </xf>
    <xf numFmtId="176" fontId="2" fillId="16" borderId="1" xfId="0" applyNumberFormat="1" applyFont="1" applyFill="1" applyBorder="1" applyAlignment="1"/>
    <xf numFmtId="0" fontId="0" fillId="9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</cellStyles>
  <dxfs count="2">
    <dxf>
      <fill>
        <patternFill patternType="solid">
          <bgColor rgb="FFEFD3D2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opLeftCell="A4" workbookViewId="0">
      <selection activeCell="L4" sqref="L4"/>
    </sheetView>
  </sheetViews>
  <sheetFormatPr defaultColWidth="10.5" defaultRowHeight="14.1" customHeight="1"/>
  <cols>
    <col min="1" max="1" width="8.25454545454545" style="1" customWidth="1"/>
    <col min="2" max="9" width="10.5" style="1" customWidth="1"/>
    <col min="10" max="10" width="8.25454545454545" style="1" customWidth="1"/>
    <col min="11" max="12" width="10.5" style="1" customWidth="1"/>
    <col min="13" max="13" width="8.25454545454545" style="1" customWidth="1"/>
    <col min="14" max="17" width="10.5" style="1" customWidth="1"/>
    <col min="18" max="18" width="8.25454545454545" style="1" customWidth="1"/>
    <col min="19" max="19" width="7.12727272727273" style="1" customWidth="1"/>
    <col min="20" max="21" width="9.87272727272727" style="1" customWidth="1"/>
    <col min="22" max="22" width="10.5" style="1" customWidth="1"/>
    <col min="23" max="16384" width="10.5" style="1"/>
  </cols>
  <sheetData>
    <row r="1" customHeight="1" spans="1:20">
      <c r="A1" s="42">
        <v>6000000</v>
      </c>
      <c r="B1" s="42"/>
      <c r="C1" s="42" t="s">
        <v>0</v>
      </c>
      <c r="D1" s="42" t="s">
        <v>1</v>
      </c>
      <c r="E1" s="42" t="s">
        <v>2</v>
      </c>
      <c r="F1" s="42" t="s">
        <v>3</v>
      </c>
      <c r="G1" s="43">
        <f>Q7*3-Q2-Q3</f>
        <v>18000000</v>
      </c>
      <c r="H1" s="44" t="s">
        <v>4</v>
      </c>
      <c r="I1" s="44"/>
      <c r="K1" s="61" t="s">
        <v>5</v>
      </c>
      <c r="L1" s="62"/>
      <c r="N1" s="61" t="s">
        <v>6</v>
      </c>
      <c r="O1" s="63"/>
      <c r="P1" s="63"/>
      <c r="Q1" s="62"/>
      <c r="S1" s="65" t="s">
        <v>7</v>
      </c>
      <c r="T1" s="65"/>
    </row>
    <row r="2" customHeight="1" spans="1:20">
      <c r="A2" s="45" t="s">
        <v>8</v>
      </c>
      <c r="B2" s="42" t="s">
        <v>9</v>
      </c>
      <c r="C2" s="42"/>
      <c r="D2" s="42"/>
      <c r="E2" s="42"/>
      <c r="F2" s="42"/>
      <c r="G2" s="43"/>
      <c r="H2" s="46" t="s">
        <v>10</v>
      </c>
      <c r="I2" s="64">
        <f>SUM(C15:F15)</f>
        <v>400000</v>
      </c>
      <c r="K2" s="46" t="s">
        <v>11</v>
      </c>
      <c r="L2" s="64"/>
      <c r="N2" s="46" t="s">
        <v>12</v>
      </c>
      <c r="O2" s="64">
        <f>F48</f>
        <v>5600000</v>
      </c>
      <c r="P2" s="46" t="s">
        <v>13</v>
      </c>
      <c r="Q2" s="64">
        <f>SUM(C8:F8,C19:F19)</f>
        <v>0</v>
      </c>
      <c r="S2" s="42" t="s">
        <v>13</v>
      </c>
      <c r="T2" s="59">
        <v>0.03</v>
      </c>
    </row>
    <row r="3" customHeight="1" spans="1:20">
      <c r="A3" s="47"/>
      <c r="B3" s="48" t="s">
        <v>14</v>
      </c>
      <c r="C3" s="48">
        <f>A1</f>
        <v>6000000</v>
      </c>
      <c r="D3" s="48">
        <f>C48-D2</f>
        <v>5900000</v>
      </c>
      <c r="E3" s="48">
        <f>D48-E2</f>
        <v>5800000</v>
      </c>
      <c r="F3" s="48">
        <f>E48-F2</f>
        <v>5700000</v>
      </c>
      <c r="G3" s="43"/>
      <c r="H3" s="46" t="s">
        <v>15</v>
      </c>
      <c r="I3" s="64">
        <f>SUM(C24:F24)</f>
        <v>0</v>
      </c>
      <c r="K3" s="46" t="s">
        <v>16</v>
      </c>
      <c r="L3" s="64">
        <f>C32+D32+E32+C33+D33+E33+C40+D40+E40+F40</f>
        <v>0</v>
      </c>
      <c r="N3" s="46" t="s">
        <v>17</v>
      </c>
      <c r="O3" s="64">
        <f>SUM(G5:G8)</f>
        <v>0</v>
      </c>
      <c r="P3" s="46" t="s">
        <v>18</v>
      </c>
      <c r="Q3" s="64">
        <f>SUM(C9:F10,C20:F21)</f>
        <v>0</v>
      </c>
      <c r="S3" s="42" t="s">
        <v>18</v>
      </c>
      <c r="T3" s="59">
        <v>0.07</v>
      </c>
    </row>
    <row r="4" customHeight="1" spans="1:20">
      <c r="A4" s="49"/>
      <c r="B4" s="4" t="s">
        <v>19</v>
      </c>
      <c r="C4" s="4"/>
      <c r="D4" s="4"/>
      <c r="E4" s="4"/>
      <c r="F4" s="4"/>
      <c r="G4" s="50"/>
      <c r="H4" s="46" t="s">
        <v>9</v>
      </c>
      <c r="I4" s="64">
        <f>SUM(C2:F2)</f>
        <v>0</v>
      </c>
      <c r="K4" s="46" t="s">
        <v>20</v>
      </c>
      <c r="L4" s="64">
        <f>L2-L3</f>
        <v>0</v>
      </c>
      <c r="N4" s="46" t="s">
        <v>21</v>
      </c>
      <c r="O4" s="64"/>
      <c r="P4" s="46" t="s">
        <v>22</v>
      </c>
      <c r="Q4" s="64">
        <f>F40</f>
        <v>0</v>
      </c>
      <c r="S4" s="42" t="s">
        <v>23</v>
      </c>
      <c r="T4" s="59">
        <v>0.04</v>
      </c>
    </row>
    <row r="5" customHeight="1" spans="1:17">
      <c r="A5" s="51" t="s">
        <v>24</v>
      </c>
      <c r="B5" s="52" t="s">
        <v>17</v>
      </c>
      <c r="C5" s="52"/>
      <c r="D5" s="52"/>
      <c r="E5" s="52"/>
      <c r="F5" s="52"/>
      <c r="G5" s="53"/>
      <c r="H5" s="46" t="s">
        <v>25</v>
      </c>
      <c r="I5" s="64">
        <f>SUM(C31:F31)</f>
        <v>0</v>
      </c>
      <c r="K5" s="46" t="s">
        <v>26</v>
      </c>
      <c r="L5" s="64">
        <f>I17</f>
        <v>400000</v>
      </c>
      <c r="N5" s="46" t="s">
        <v>27</v>
      </c>
      <c r="O5" s="64"/>
      <c r="P5" s="46" t="s">
        <v>28</v>
      </c>
      <c r="Q5" s="64">
        <f>L12</f>
        <v>-100000</v>
      </c>
    </row>
    <row r="6" customHeight="1" spans="1:20">
      <c r="A6" s="54"/>
      <c r="B6" s="4" t="s">
        <v>29</v>
      </c>
      <c r="C6" s="4">
        <f>SUM(T13:T16)</f>
        <v>0</v>
      </c>
      <c r="D6" s="4">
        <f>SUM(T19:T22)</f>
        <v>0</v>
      </c>
      <c r="E6" s="4">
        <f>SUM(T25:T28)</f>
        <v>0</v>
      </c>
      <c r="F6" s="4">
        <f>SUM(T31:T34)</f>
        <v>0</v>
      </c>
      <c r="H6" s="46" t="s">
        <v>30</v>
      </c>
      <c r="I6" s="64">
        <f t="shared" ref="I6:I8" si="0">SUM(C25:F25)</f>
        <v>0</v>
      </c>
      <c r="K6" s="46" t="s">
        <v>31</v>
      </c>
      <c r="L6" s="64">
        <f>L4-L5</f>
        <v>-400000</v>
      </c>
      <c r="N6" s="46" t="s">
        <v>32</v>
      </c>
      <c r="O6" s="64"/>
      <c r="P6" s="46" t="s">
        <v>33</v>
      </c>
      <c r="Q6" s="64">
        <f>SUM(Q2:Q5)</f>
        <v>-100000</v>
      </c>
      <c r="S6" s="65" t="s">
        <v>34</v>
      </c>
      <c r="T6" s="65"/>
    </row>
    <row r="7" customHeight="1" spans="1:20">
      <c r="A7" s="54"/>
      <c r="B7" s="4" t="s">
        <v>35</v>
      </c>
      <c r="C7" s="4">
        <f>SUM(U13:U16)</f>
        <v>0</v>
      </c>
      <c r="D7" s="4">
        <f>SUM(U19:U22)</f>
        <v>0</v>
      </c>
      <c r="E7" s="4">
        <f>SUM(U25:U28)</f>
        <v>0</v>
      </c>
      <c r="F7" s="4">
        <f>SUM(U31:U34)</f>
        <v>0</v>
      </c>
      <c r="H7" s="46" t="s">
        <v>36</v>
      </c>
      <c r="I7" s="64">
        <f t="shared" si="0"/>
        <v>0</v>
      </c>
      <c r="K7" s="46" t="s">
        <v>37</v>
      </c>
      <c r="L7" s="64">
        <f>SUM(C46:F46)</f>
        <v>0</v>
      </c>
      <c r="N7" s="46" t="s">
        <v>38</v>
      </c>
      <c r="O7" s="64">
        <f>SUM(O2:O6)</f>
        <v>5600000</v>
      </c>
      <c r="P7" s="46" t="s">
        <v>39</v>
      </c>
      <c r="Q7" s="64">
        <f>A1</f>
        <v>6000000</v>
      </c>
      <c r="S7" s="42" t="s">
        <v>0</v>
      </c>
      <c r="T7" s="59">
        <v>0.02</v>
      </c>
    </row>
    <row r="8" customHeight="1" spans="1:20">
      <c r="A8" s="54"/>
      <c r="B8" s="55" t="s">
        <v>13</v>
      </c>
      <c r="C8" s="55"/>
      <c r="D8" s="55"/>
      <c r="E8" s="55"/>
      <c r="F8" s="55"/>
      <c r="H8" s="46" t="s">
        <v>40</v>
      </c>
      <c r="I8" s="64">
        <f t="shared" si="0"/>
        <v>0</v>
      </c>
      <c r="K8" s="46" t="s">
        <v>41</v>
      </c>
      <c r="L8" s="64">
        <f>L6-L7</f>
        <v>-400000</v>
      </c>
      <c r="N8" s="46" t="s">
        <v>42</v>
      </c>
      <c r="O8" s="64"/>
      <c r="P8" s="46" t="s">
        <v>43</v>
      </c>
      <c r="Q8" s="64"/>
      <c r="S8" s="42" t="s">
        <v>1</v>
      </c>
      <c r="T8" s="59">
        <v>0.04</v>
      </c>
    </row>
    <row r="9" customHeight="1" spans="1:20">
      <c r="A9" s="54"/>
      <c r="B9" s="55" t="s">
        <v>18</v>
      </c>
      <c r="C9" s="55"/>
      <c r="D9" s="55"/>
      <c r="E9" s="55"/>
      <c r="F9" s="55"/>
      <c r="H9" s="46" t="s">
        <v>44</v>
      </c>
      <c r="I9" s="64"/>
      <c r="K9" s="46" t="s">
        <v>45</v>
      </c>
      <c r="L9" s="64">
        <f>SUM(C16:F18,C7:F7)</f>
        <v>0</v>
      </c>
      <c r="N9" s="46" t="s">
        <v>46</v>
      </c>
      <c r="O9" s="64"/>
      <c r="P9" s="46" t="s">
        <v>47</v>
      </c>
      <c r="Q9" s="64">
        <f>L13</f>
        <v>-300000</v>
      </c>
      <c r="S9" s="42" t="s">
        <v>2</v>
      </c>
      <c r="T9" s="59">
        <v>0.07</v>
      </c>
    </row>
    <row r="10" customHeight="1" spans="1:20">
      <c r="A10" s="54"/>
      <c r="B10" s="55" t="s">
        <v>23</v>
      </c>
      <c r="C10" s="55"/>
      <c r="D10" s="55"/>
      <c r="E10" s="55"/>
      <c r="F10" s="55"/>
      <c r="H10" s="46" t="s">
        <v>48</v>
      </c>
      <c r="I10" s="64">
        <f>SUM(C35:F35)</f>
        <v>0</v>
      </c>
      <c r="K10" s="46" t="s">
        <v>49</v>
      </c>
      <c r="L10" s="64"/>
      <c r="N10" s="46" t="s">
        <v>50</v>
      </c>
      <c r="O10" s="64">
        <f>SUM(O8:O9)</f>
        <v>0</v>
      </c>
      <c r="P10" s="46" t="s">
        <v>51</v>
      </c>
      <c r="Q10" s="64">
        <f>SUM(Q7:Q9)</f>
        <v>5700000</v>
      </c>
      <c r="S10" s="42" t="s">
        <v>3</v>
      </c>
      <c r="T10" s="59">
        <v>0.09</v>
      </c>
    </row>
    <row r="11" customHeight="1" spans="1:17">
      <c r="A11" s="54"/>
      <c r="B11" s="4" t="s">
        <v>52</v>
      </c>
      <c r="C11" s="4"/>
      <c r="D11" s="4"/>
      <c r="E11" s="4"/>
      <c r="F11" s="4"/>
      <c r="H11" s="46" t="s">
        <v>53</v>
      </c>
      <c r="I11" s="64"/>
      <c r="K11" s="46" t="s">
        <v>54</v>
      </c>
      <c r="L11" s="64">
        <f>L8-L9-L10</f>
        <v>-400000</v>
      </c>
      <c r="N11" s="46" t="s">
        <v>55</v>
      </c>
      <c r="O11" s="64">
        <f>O10+O7</f>
        <v>5600000</v>
      </c>
      <c r="P11" s="46" t="s">
        <v>55</v>
      </c>
      <c r="Q11" s="64">
        <f>Q10+Q6</f>
        <v>5600000</v>
      </c>
    </row>
    <row r="12" customHeight="1" spans="1:21">
      <c r="A12" s="54"/>
      <c r="B12" s="4" t="s">
        <v>56</v>
      </c>
      <c r="C12" s="4"/>
      <c r="D12" s="4"/>
      <c r="E12" s="4"/>
      <c r="F12" s="4"/>
      <c r="H12" s="46" t="s">
        <v>57</v>
      </c>
      <c r="I12" s="64">
        <f>SUM(C42:F42)</f>
        <v>0</v>
      </c>
      <c r="K12" s="46" t="s">
        <v>58</v>
      </c>
      <c r="L12" s="64">
        <f>L11*0.25</f>
        <v>-100000</v>
      </c>
      <c r="S12" s="65" t="s">
        <v>59</v>
      </c>
      <c r="T12" s="65" t="s">
        <v>29</v>
      </c>
      <c r="U12" s="65" t="s">
        <v>35</v>
      </c>
    </row>
    <row r="13" customHeight="1" spans="1:21">
      <c r="A13" s="54"/>
      <c r="B13" s="4" t="s">
        <v>60</v>
      </c>
      <c r="C13" s="4"/>
      <c r="D13" s="4">
        <f>C10+C21</f>
        <v>0</v>
      </c>
      <c r="E13" s="4">
        <f>D10+D21</f>
        <v>0</v>
      </c>
      <c r="F13" s="4">
        <f>E10+E21</f>
        <v>0</v>
      </c>
      <c r="H13" s="46" t="s">
        <v>61</v>
      </c>
      <c r="I13" s="64"/>
      <c r="K13" s="46" t="s">
        <v>62</v>
      </c>
      <c r="L13" s="64">
        <f>L11-L12</f>
        <v>-300000</v>
      </c>
      <c r="S13" s="65">
        <v>1.2</v>
      </c>
      <c r="T13" s="59"/>
      <c r="U13" s="59">
        <f t="shared" ref="U13:U16" si="1">T13*T7</f>
        <v>0</v>
      </c>
    </row>
    <row r="14" customHeight="1" spans="1:21">
      <c r="A14" s="54"/>
      <c r="B14" s="48" t="s">
        <v>12</v>
      </c>
      <c r="C14" s="48">
        <f>C3+C4+C5+C6-C7+C8+C9+C10-C11-C12-C13</f>
        <v>6000000</v>
      </c>
      <c r="D14" s="48">
        <f>D3+D4+D5+D6-D7+D8+D9+D10-D11-D12-D13</f>
        <v>5900000</v>
      </c>
      <c r="E14" s="48">
        <f>E3+E4+E5+E6-E7+E8+E9+E10-E11-E12-E13</f>
        <v>5800000</v>
      </c>
      <c r="F14" s="48">
        <f>F3+F4+F5+F6-F7+F8+F9+F10-F11-F12-F13</f>
        <v>5700000</v>
      </c>
      <c r="H14" s="46" t="s">
        <v>63</v>
      </c>
      <c r="I14" s="64"/>
      <c r="S14" s="65">
        <v>1.3</v>
      </c>
      <c r="T14" s="59"/>
      <c r="U14" s="59">
        <f t="shared" si="1"/>
        <v>0</v>
      </c>
    </row>
    <row r="15" customHeight="1" spans="1:21">
      <c r="A15" s="54"/>
      <c r="B15" s="4" t="s">
        <v>10</v>
      </c>
      <c r="C15" s="4">
        <v>100000</v>
      </c>
      <c r="D15" s="4">
        <f>C15</f>
        <v>100000</v>
      </c>
      <c r="E15" s="4">
        <f>C15</f>
        <v>100000</v>
      </c>
      <c r="F15" s="4">
        <f>C15</f>
        <v>100000</v>
      </c>
      <c r="H15" s="46" t="s">
        <v>64</v>
      </c>
      <c r="I15" s="64">
        <f>SUM(C34:F34)</f>
        <v>0</v>
      </c>
      <c r="S15" s="65">
        <v>1.4</v>
      </c>
      <c r="T15" s="59"/>
      <c r="U15" s="59">
        <f t="shared" si="1"/>
        <v>0</v>
      </c>
    </row>
    <row r="16" customHeight="1" spans="1:21">
      <c r="A16" s="54"/>
      <c r="B16" s="55" t="s">
        <v>65</v>
      </c>
      <c r="C16" s="55"/>
      <c r="D16" s="55">
        <f>C8*T2+C19*T2</f>
        <v>0</v>
      </c>
      <c r="E16" s="55">
        <f>D16+D8*T2+D19*T2</f>
        <v>0</v>
      </c>
      <c r="F16" s="55">
        <f>E16+E8*T2+E19*T2</f>
        <v>0</v>
      </c>
      <c r="H16" s="46" t="s">
        <v>66</v>
      </c>
      <c r="I16" s="64">
        <f>SUM(C28:F28,C38:F38,C44:F44)</f>
        <v>0</v>
      </c>
      <c r="S16" s="65">
        <v>2.1</v>
      </c>
      <c r="T16" s="59"/>
      <c r="U16" s="59">
        <f t="shared" si="1"/>
        <v>0</v>
      </c>
    </row>
    <row r="17" customHeight="1" spans="1:9">
      <c r="A17" s="54"/>
      <c r="B17" s="55" t="s">
        <v>67</v>
      </c>
      <c r="C17" s="55">
        <f>C12*T3</f>
        <v>0</v>
      </c>
      <c r="D17" s="55">
        <f>D12*T3</f>
        <v>0</v>
      </c>
      <c r="E17" s="55">
        <f>E12*T3</f>
        <v>0</v>
      </c>
      <c r="F17" s="55">
        <f>F12*T3</f>
        <v>0</v>
      </c>
      <c r="H17" s="46" t="s">
        <v>55</v>
      </c>
      <c r="I17" s="64">
        <f>SUM(I2:I16)</f>
        <v>400000</v>
      </c>
    </row>
    <row r="18" customHeight="1" spans="1:21">
      <c r="A18" s="54"/>
      <c r="B18" s="55" t="s">
        <v>68</v>
      </c>
      <c r="C18" s="55">
        <f>C13*T4</f>
        <v>0</v>
      </c>
      <c r="D18" s="55">
        <f>D13*T4</f>
        <v>0</v>
      </c>
      <c r="E18" s="55">
        <f>E13*T4</f>
        <v>0</v>
      </c>
      <c r="F18" s="55">
        <f>F13*T4</f>
        <v>0</v>
      </c>
      <c r="S18" s="65" t="s">
        <v>59</v>
      </c>
      <c r="T18" s="65" t="s">
        <v>29</v>
      </c>
      <c r="U18" s="65" t="s">
        <v>35</v>
      </c>
    </row>
    <row r="19" customHeight="1" spans="1:21">
      <c r="A19" s="54"/>
      <c r="B19" s="4" t="s">
        <v>13</v>
      </c>
      <c r="C19" s="4">
        <f t="shared" ref="C19:F19" si="2">C11</f>
        <v>0</v>
      </c>
      <c r="D19" s="4">
        <f t="shared" si="2"/>
        <v>0</v>
      </c>
      <c r="E19" s="4">
        <f t="shared" si="2"/>
        <v>0</v>
      </c>
      <c r="F19" s="4">
        <f t="shared" si="2"/>
        <v>0</v>
      </c>
      <c r="S19" s="65">
        <v>1.3</v>
      </c>
      <c r="T19" s="59"/>
      <c r="U19" s="59">
        <f>T19*T7</f>
        <v>0</v>
      </c>
    </row>
    <row r="20" customHeight="1" spans="1:21">
      <c r="A20" s="54"/>
      <c r="B20" s="4" t="s">
        <v>18</v>
      </c>
      <c r="C20" s="4">
        <f t="shared" ref="C20:F20" si="3">C12</f>
        <v>0</v>
      </c>
      <c r="D20" s="4">
        <f t="shared" si="3"/>
        <v>0</v>
      </c>
      <c r="E20" s="4">
        <f t="shared" si="3"/>
        <v>0</v>
      </c>
      <c r="F20" s="4">
        <f t="shared" si="3"/>
        <v>0</v>
      </c>
      <c r="S20" s="65">
        <v>1.4</v>
      </c>
      <c r="T20" s="59"/>
      <c r="U20" s="59">
        <f>T20*T8</f>
        <v>0</v>
      </c>
    </row>
    <row r="21" customHeight="1" spans="1:21">
      <c r="A21" s="54"/>
      <c r="B21" s="4" t="s">
        <v>23</v>
      </c>
      <c r="C21" s="4">
        <f t="shared" ref="C21:F21" si="4">C13</f>
        <v>0</v>
      </c>
      <c r="D21" s="4">
        <f t="shared" si="4"/>
        <v>0</v>
      </c>
      <c r="E21" s="4">
        <f t="shared" si="4"/>
        <v>0</v>
      </c>
      <c r="F21" s="4">
        <f t="shared" si="4"/>
        <v>0</v>
      </c>
      <c r="S21" s="65">
        <v>2.1</v>
      </c>
      <c r="T21" s="59"/>
      <c r="U21" s="59">
        <f>T21*T9</f>
        <v>0</v>
      </c>
    </row>
    <row r="22" customHeight="1" spans="1:21">
      <c r="A22" s="54"/>
      <c r="B22" s="4" t="s">
        <v>69</v>
      </c>
      <c r="C22" s="4"/>
      <c r="D22" s="4"/>
      <c r="E22" s="4"/>
      <c r="F22" s="4"/>
      <c r="S22" s="65">
        <v>2.2</v>
      </c>
      <c r="T22" s="59"/>
      <c r="U22" s="59">
        <f>T22*T10</f>
        <v>0</v>
      </c>
    </row>
    <row r="23" customHeight="1" spans="1:6">
      <c r="A23" s="54"/>
      <c r="B23" s="48" t="s">
        <v>12</v>
      </c>
      <c r="C23" s="48">
        <f>C14-C15-C16-C17-C18+C19+C20+C21</f>
        <v>5900000</v>
      </c>
      <c r="D23" s="48">
        <f>D14-D15-D16-D17-D18+D19+D20+D21</f>
        <v>5800000</v>
      </c>
      <c r="E23" s="48">
        <f>E14-E15-E16-E17-E18+E19+E20+E21</f>
        <v>5700000</v>
      </c>
      <c r="F23" s="48">
        <f>F14-F15-F16-F17-F18+F19+F20+F21</f>
        <v>5600000</v>
      </c>
    </row>
    <row r="24" customHeight="1" spans="1:21">
      <c r="A24" s="45" t="s">
        <v>70</v>
      </c>
      <c r="B24" s="55" t="s">
        <v>15</v>
      </c>
      <c r="C24" s="55"/>
      <c r="D24" s="55"/>
      <c r="E24" s="55"/>
      <c r="F24" s="55"/>
      <c r="S24" s="65" t="s">
        <v>59</v>
      </c>
      <c r="T24" s="65" t="s">
        <v>29</v>
      </c>
      <c r="U24" s="65" t="s">
        <v>35</v>
      </c>
    </row>
    <row r="25" customHeight="1" spans="1:21">
      <c r="A25" s="47"/>
      <c r="B25" s="4" t="s">
        <v>30</v>
      </c>
      <c r="C25" s="4"/>
      <c r="D25" s="4"/>
      <c r="E25" s="4"/>
      <c r="F25" s="4"/>
      <c r="S25" s="65">
        <v>1.4</v>
      </c>
      <c r="T25" s="59"/>
      <c r="U25" s="59">
        <f t="shared" ref="U25:U28" si="5">T25*T7</f>
        <v>0</v>
      </c>
    </row>
    <row r="26" customHeight="1" spans="1:21">
      <c r="A26" s="47"/>
      <c r="B26" s="4" t="s">
        <v>71</v>
      </c>
      <c r="C26" s="4"/>
      <c r="D26" s="4"/>
      <c r="E26" s="4"/>
      <c r="F26" s="4"/>
      <c r="S26" s="65">
        <v>2.1</v>
      </c>
      <c r="T26" s="59"/>
      <c r="U26" s="59">
        <f t="shared" si="5"/>
        <v>0</v>
      </c>
    </row>
    <row r="27" customHeight="1" spans="1:21">
      <c r="A27" s="47"/>
      <c r="B27" s="4" t="s">
        <v>72</v>
      </c>
      <c r="C27" s="4"/>
      <c r="D27" s="4"/>
      <c r="E27" s="4"/>
      <c r="F27" s="4"/>
      <c r="S27" s="65">
        <v>2.2</v>
      </c>
      <c r="T27" s="59"/>
      <c r="U27" s="59">
        <f t="shared" si="5"/>
        <v>0</v>
      </c>
    </row>
    <row r="28" customHeight="1" spans="1:21">
      <c r="A28" s="47"/>
      <c r="B28" s="4" t="s">
        <v>66</v>
      </c>
      <c r="C28" s="4"/>
      <c r="D28" s="4"/>
      <c r="E28" s="4"/>
      <c r="F28" s="4"/>
      <c r="S28" s="65">
        <v>2.3</v>
      </c>
      <c r="T28" s="59"/>
      <c r="U28" s="59">
        <f t="shared" si="5"/>
        <v>0</v>
      </c>
    </row>
    <row r="29" customHeight="1" spans="1:21">
      <c r="A29" s="49"/>
      <c r="B29" s="48" t="s">
        <v>73</v>
      </c>
      <c r="C29" s="48">
        <f>SUM(C24:C28)</f>
        <v>0</v>
      </c>
      <c r="D29" s="48">
        <f t="shared" ref="D29:F29" si="6">SUM(D24:D28)</f>
        <v>0</v>
      </c>
      <c r="E29" s="48">
        <f t="shared" si="6"/>
        <v>0</v>
      </c>
      <c r="F29" s="48">
        <f t="shared" si="6"/>
        <v>0</v>
      </c>
      <c r="S29" s="53"/>
      <c r="T29" s="53"/>
      <c r="U29" s="53"/>
    </row>
    <row r="30" customHeight="1" spans="1:21">
      <c r="A30" s="56" t="s">
        <v>74</v>
      </c>
      <c r="B30" s="4" t="s">
        <v>75</v>
      </c>
      <c r="C30" s="4"/>
      <c r="D30" s="4"/>
      <c r="E30" s="4"/>
      <c r="F30" s="4"/>
      <c r="S30" s="65" t="s">
        <v>59</v>
      </c>
      <c r="T30" s="65" t="s">
        <v>29</v>
      </c>
      <c r="U30" s="65" t="s">
        <v>35</v>
      </c>
    </row>
    <row r="31" customHeight="1" spans="1:21">
      <c r="A31" s="57"/>
      <c r="B31" s="4" t="s">
        <v>25</v>
      </c>
      <c r="C31" s="4"/>
      <c r="D31" s="4"/>
      <c r="E31" s="4"/>
      <c r="F31" s="4"/>
      <c r="S31" s="65">
        <v>2.1</v>
      </c>
      <c r="T31" s="59"/>
      <c r="U31" s="59">
        <f t="shared" ref="U31:U34" si="7">T31*T7</f>
        <v>0</v>
      </c>
    </row>
    <row r="32" customHeight="1" spans="1:21">
      <c r="A32" s="57"/>
      <c r="B32" s="4" t="s">
        <v>76</v>
      </c>
      <c r="C32" s="4"/>
      <c r="D32" s="4"/>
      <c r="E32" s="4"/>
      <c r="F32" s="4"/>
      <c r="S32" s="65">
        <v>2.2</v>
      </c>
      <c r="T32" s="59"/>
      <c r="U32" s="59">
        <f t="shared" si="7"/>
        <v>0</v>
      </c>
    </row>
    <row r="33" customHeight="1" spans="1:21">
      <c r="A33" s="57"/>
      <c r="B33" s="52" t="s">
        <v>77</v>
      </c>
      <c r="C33" s="52"/>
      <c r="D33" s="52"/>
      <c r="E33" s="52"/>
      <c r="F33" s="52"/>
      <c r="S33" s="65">
        <v>2.3</v>
      </c>
      <c r="T33" s="59"/>
      <c r="U33" s="59">
        <f t="shared" si="7"/>
        <v>0</v>
      </c>
    </row>
    <row r="34" customHeight="1" spans="1:21">
      <c r="A34" s="57"/>
      <c r="B34" s="4" t="s">
        <v>78</v>
      </c>
      <c r="C34" s="4"/>
      <c r="D34" s="4"/>
      <c r="E34" s="4"/>
      <c r="F34" s="4"/>
      <c r="S34" s="65">
        <v>2.4</v>
      </c>
      <c r="T34" s="59"/>
      <c r="U34" s="59">
        <f t="shared" si="7"/>
        <v>0</v>
      </c>
    </row>
    <row r="35" customHeight="1" spans="1:6">
      <c r="A35" s="57"/>
      <c r="B35" s="4" t="s">
        <v>48</v>
      </c>
      <c r="C35" s="4"/>
      <c r="D35" s="4"/>
      <c r="E35" s="4"/>
      <c r="F35" s="4"/>
    </row>
    <row r="36" customHeight="1" spans="1:6">
      <c r="A36" s="57"/>
      <c r="B36" s="4" t="s">
        <v>79</v>
      </c>
      <c r="C36" s="4"/>
      <c r="D36" s="4"/>
      <c r="E36" s="4"/>
      <c r="F36" s="4"/>
    </row>
    <row r="37" customHeight="1" spans="1:6">
      <c r="A37" s="57"/>
      <c r="B37" s="4" t="s">
        <v>80</v>
      </c>
      <c r="C37" s="4"/>
      <c r="D37" s="4"/>
      <c r="E37" s="4"/>
      <c r="F37" s="4"/>
    </row>
    <row r="38" customHeight="1" spans="1:6">
      <c r="A38" s="57"/>
      <c r="B38" s="4" t="s">
        <v>66</v>
      </c>
      <c r="C38" s="4"/>
      <c r="D38" s="4"/>
      <c r="E38" s="4"/>
      <c r="F38" s="4"/>
    </row>
    <row r="39" customHeight="1" spans="1:6">
      <c r="A39" s="58"/>
      <c r="B39" s="48" t="s">
        <v>73</v>
      </c>
      <c r="C39" s="48">
        <f>SUM(C30:C38)-C37-C36</f>
        <v>0</v>
      </c>
      <c r="D39" s="48">
        <f t="shared" ref="D39:F39" si="8">SUM(D30:D38)-D37-D36</f>
        <v>0</v>
      </c>
      <c r="E39" s="48">
        <f t="shared" si="8"/>
        <v>0</v>
      </c>
      <c r="F39" s="48">
        <f t="shared" si="8"/>
        <v>0</v>
      </c>
    </row>
    <row r="40" customHeight="1" spans="1:6">
      <c r="A40" s="56" t="s">
        <v>81</v>
      </c>
      <c r="B40" s="4" t="s">
        <v>82</v>
      </c>
      <c r="C40" s="4"/>
      <c r="D40" s="4"/>
      <c r="E40" s="4"/>
      <c r="F40" s="4"/>
    </row>
    <row r="41" customHeight="1" spans="1:6">
      <c r="A41" s="57"/>
      <c r="B41" s="4" t="s">
        <v>83</v>
      </c>
      <c r="C41" s="4"/>
      <c r="D41" s="4"/>
      <c r="E41" s="4"/>
      <c r="F41" s="4"/>
    </row>
    <row r="42" customHeight="1" spans="1:6">
      <c r="A42" s="57"/>
      <c r="B42" s="55" t="s">
        <v>84</v>
      </c>
      <c r="C42" s="55"/>
      <c r="D42" s="55"/>
      <c r="E42" s="55"/>
      <c r="F42" s="55"/>
    </row>
    <row r="43" customHeight="1" spans="1:6">
      <c r="A43" s="57"/>
      <c r="B43" s="4" t="s">
        <v>85</v>
      </c>
      <c r="C43" s="4"/>
      <c r="D43" s="4"/>
      <c r="E43" s="4"/>
      <c r="F43" s="4"/>
    </row>
    <row r="44" customHeight="1" spans="1:6">
      <c r="A44" s="57"/>
      <c r="B44" s="4" t="s">
        <v>66</v>
      </c>
      <c r="C44" s="4"/>
      <c r="D44" s="4"/>
      <c r="E44" s="4"/>
      <c r="F44" s="4"/>
    </row>
    <row r="45" customHeight="1" spans="1:6">
      <c r="A45" s="58"/>
      <c r="B45" s="48" t="s">
        <v>73</v>
      </c>
      <c r="C45" s="48">
        <f>SUM(C40:C44)-C43</f>
        <v>0</v>
      </c>
      <c r="D45" s="48">
        <f t="shared" ref="D45:F45" si="9">SUM(D40:D44)-D43</f>
        <v>0</v>
      </c>
      <c r="E45" s="48">
        <f t="shared" si="9"/>
        <v>0</v>
      </c>
      <c r="F45" s="48">
        <f t="shared" si="9"/>
        <v>0</v>
      </c>
    </row>
    <row r="46" customHeight="1" spans="1:6">
      <c r="A46" s="57" t="s">
        <v>86</v>
      </c>
      <c r="B46" s="59" t="s">
        <v>37</v>
      </c>
      <c r="C46" s="59"/>
      <c r="D46" s="59"/>
      <c r="E46" s="59"/>
      <c r="F46" s="59"/>
    </row>
    <row r="47" customHeight="1" spans="1:6">
      <c r="A47" s="57"/>
      <c r="B47" s="4" t="s">
        <v>87</v>
      </c>
      <c r="C47" s="4">
        <f>C45+C39+C29+C23</f>
        <v>5900000</v>
      </c>
      <c r="D47" s="4">
        <f>D45+D39+D29+D23</f>
        <v>5800000</v>
      </c>
      <c r="E47" s="4">
        <f>E45+E39+E29+E23</f>
        <v>5700000</v>
      </c>
      <c r="F47" s="4">
        <f>F45+F39+F29+F23</f>
        <v>5600000</v>
      </c>
    </row>
    <row r="48" customHeight="1" spans="1:7">
      <c r="A48" s="58"/>
      <c r="B48" s="48" t="s">
        <v>12</v>
      </c>
      <c r="C48" s="48">
        <f>C23-C29-C30-C31-C32-C33-C34-C35+C36+C37-C38-C40-C41-C42-C43-C44</f>
        <v>5900000</v>
      </c>
      <c r="D48" s="48">
        <f>D23-D29-D30-D31-D32-D33-D34-D35+D36+D37-D38-D40-D41-D42-D43-D44</f>
        <v>5800000</v>
      </c>
      <c r="E48" s="48">
        <f>E23-E29-E30-E31-E32-E33-E34-E35+E36+E37-E38-E40-E41-E42-E43-E44</f>
        <v>5700000</v>
      </c>
      <c r="F48" s="48">
        <f>F23-F29-F30-F31-F32-F33-F34-F35+F36+F37-F38-F40-F41-F42-F43-F44</f>
        <v>5600000</v>
      </c>
      <c r="G48" s="60">
        <f>F48-L12</f>
        <v>5700000</v>
      </c>
    </row>
  </sheetData>
  <mergeCells count="12">
    <mergeCell ref="H1:I1"/>
    <mergeCell ref="K1:L1"/>
    <mergeCell ref="N1:Q1"/>
    <mergeCell ref="S1:T1"/>
    <mergeCell ref="S6:T6"/>
    <mergeCell ref="A2:A4"/>
    <mergeCell ref="A5:A23"/>
    <mergeCell ref="A24:A29"/>
    <mergeCell ref="A30:A39"/>
    <mergeCell ref="A40:A45"/>
    <mergeCell ref="A46:A48"/>
    <mergeCell ref="G1:G4"/>
  </mergeCells>
  <conditionalFormatting sqref="C3:F3 O2 C48:F48">
    <cfRule type="cellIs" dxfId="0" priority="1" operator="lessThan">
      <formula>0</formula>
    </cfRule>
  </conditionalFormatting>
  <conditionalFormatting sqref="C3:F3 C48:F48">
    <cfRule type="cellIs" dxfId="1" priority="2" operator="less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opLeftCell="A3" workbookViewId="0">
      <selection activeCell="E16" sqref="E16:F16"/>
    </sheetView>
  </sheetViews>
  <sheetFormatPr defaultColWidth="10.5" defaultRowHeight="14.1" customHeight="1"/>
  <cols>
    <col min="1" max="1" width="8.5" style="1" customWidth="1"/>
    <col min="2" max="6" width="10.5" style="1" customWidth="1"/>
    <col min="7" max="7" width="8.5" style="1" customWidth="1"/>
    <col min="8" max="9" width="10.5" style="1" customWidth="1"/>
    <col min="10" max="10" width="8.5" style="1" customWidth="1"/>
    <col min="11" max="12" width="10.5" style="1" customWidth="1"/>
    <col min="13" max="13" width="8.5" style="1" customWidth="1"/>
    <col min="14" max="17" width="10.5" style="1" customWidth="1"/>
    <col min="18" max="19" width="8.5" style="1" customWidth="1"/>
    <col min="20" max="21" width="9.5" style="1" customWidth="1"/>
    <col min="22" max="22" width="10.5" style="1" customWidth="1"/>
    <col min="23" max="16384" width="10.5" style="1"/>
  </cols>
  <sheetData>
    <row r="1" customHeight="1" spans="1:20">
      <c r="A1" s="42">
        <v>100000</v>
      </c>
      <c r="B1" s="42"/>
      <c r="C1" s="42" t="s">
        <v>0</v>
      </c>
      <c r="D1" s="42" t="s">
        <v>1</v>
      </c>
      <c r="E1" s="42" t="s">
        <v>2</v>
      </c>
      <c r="F1" s="42" t="s">
        <v>3</v>
      </c>
      <c r="G1" s="43">
        <f>第一年!Q10*3-Q2-Q3</f>
        <v>17100000</v>
      </c>
      <c r="H1" s="44" t="s">
        <v>4</v>
      </c>
      <c r="I1" s="44"/>
      <c r="K1" s="61" t="s">
        <v>5</v>
      </c>
      <c r="L1" s="62"/>
      <c r="N1" s="61" t="s">
        <v>6</v>
      </c>
      <c r="O1" s="63"/>
      <c r="P1" s="63"/>
      <c r="Q1" s="62"/>
      <c r="S1" s="65" t="s">
        <v>7</v>
      </c>
      <c r="T1" s="65"/>
    </row>
    <row r="2" customHeight="1" spans="1:20">
      <c r="A2" s="45" t="s">
        <v>8</v>
      </c>
      <c r="B2" s="42" t="s">
        <v>9</v>
      </c>
      <c r="C2" s="42"/>
      <c r="D2" s="42"/>
      <c r="E2" s="42"/>
      <c r="F2" s="42"/>
      <c r="G2" s="43"/>
      <c r="H2" s="46" t="s">
        <v>10</v>
      </c>
      <c r="I2" s="64">
        <f>SUM(C15:F15)</f>
        <v>400000</v>
      </c>
      <c r="K2" s="46" t="s">
        <v>11</v>
      </c>
      <c r="L2" s="64"/>
      <c r="N2" s="46" t="s">
        <v>12</v>
      </c>
      <c r="O2" s="64">
        <f>F48</f>
        <v>5300000</v>
      </c>
      <c r="P2" s="46" t="s">
        <v>13</v>
      </c>
      <c r="Q2" s="64">
        <f>SUM(C8:F8,C19:F19)+第一年!Q2</f>
        <v>0</v>
      </c>
      <c r="S2" s="42" t="s">
        <v>13</v>
      </c>
      <c r="T2" s="59">
        <f>第一年!T2</f>
        <v>0.03</v>
      </c>
    </row>
    <row r="3" customHeight="1" spans="1:20">
      <c r="A3" s="47"/>
      <c r="B3" s="48" t="s">
        <v>14</v>
      </c>
      <c r="C3" s="48">
        <f>第一年!G48-C2</f>
        <v>5700000</v>
      </c>
      <c r="D3" s="48">
        <f>C48-D2</f>
        <v>5600000</v>
      </c>
      <c r="E3" s="48">
        <f>D48-E2</f>
        <v>5500000</v>
      </c>
      <c r="F3" s="48">
        <f>E48-F2</f>
        <v>5400000</v>
      </c>
      <c r="G3" s="43"/>
      <c r="H3" s="46" t="s">
        <v>15</v>
      </c>
      <c r="I3" s="64">
        <f>SUM(C24:F24)</f>
        <v>0</v>
      </c>
      <c r="K3" s="46" t="s">
        <v>16</v>
      </c>
      <c r="L3" s="64">
        <f>C32+D32+E32+C33+D33+E33+C40+D40+E40+F40+第一年!F32+第一年!F33</f>
        <v>0</v>
      </c>
      <c r="N3" s="46" t="s">
        <v>17</v>
      </c>
      <c r="O3" s="64">
        <f>SUM(G5:G8)</f>
        <v>0</v>
      </c>
      <c r="P3" s="46" t="s">
        <v>18</v>
      </c>
      <c r="Q3" s="64">
        <f>SUM(C9:F10,C20:F21)</f>
        <v>0</v>
      </c>
      <c r="S3" s="42" t="s">
        <v>18</v>
      </c>
      <c r="T3" s="59">
        <f>第一年!T3</f>
        <v>0.07</v>
      </c>
    </row>
    <row r="4" customHeight="1" spans="1:20">
      <c r="A4" s="49"/>
      <c r="B4" s="4" t="s">
        <v>19</v>
      </c>
      <c r="C4" s="4"/>
      <c r="D4" s="4"/>
      <c r="E4" s="4"/>
      <c r="F4" s="4"/>
      <c r="G4" s="50"/>
      <c r="H4" s="46" t="s">
        <v>9</v>
      </c>
      <c r="I4" s="64">
        <f>SUM(C2:F2)</f>
        <v>0</v>
      </c>
      <c r="K4" s="46" t="s">
        <v>20</v>
      </c>
      <c r="L4" s="64">
        <f t="shared" ref="L4:L8" si="0">L2-L3</f>
        <v>0</v>
      </c>
      <c r="N4" s="46" t="s">
        <v>21</v>
      </c>
      <c r="O4" s="64"/>
      <c r="P4" s="46" t="s">
        <v>22</v>
      </c>
      <c r="Q4" s="64">
        <f>F40</f>
        <v>0</v>
      </c>
      <c r="S4" s="42" t="s">
        <v>23</v>
      </c>
      <c r="T4" s="59">
        <f>第一年!T4</f>
        <v>0.04</v>
      </c>
    </row>
    <row r="5" customHeight="1" spans="1:17">
      <c r="A5" s="51" t="s">
        <v>24</v>
      </c>
      <c r="B5" s="52" t="s">
        <v>17</v>
      </c>
      <c r="C5" s="52"/>
      <c r="D5" s="52"/>
      <c r="E5" s="52"/>
      <c r="F5" s="52"/>
      <c r="G5" s="53"/>
      <c r="H5" s="46" t="s">
        <v>25</v>
      </c>
      <c r="I5" s="64">
        <f>SUM(C31:F31)</f>
        <v>0</v>
      </c>
      <c r="K5" s="46" t="s">
        <v>26</v>
      </c>
      <c r="L5" s="64">
        <f>I17</f>
        <v>400000</v>
      </c>
      <c r="N5" s="46" t="s">
        <v>27</v>
      </c>
      <c r="O5" s="64"/>
      <c r="P5" s="46" t="s">
        <v>28</v>
      </c>
      <c r="Q5" s="64">
        <f>L12</f>
        <v>-100000</v>
      </c>
    </row>
    <row r="6" customHeight="1" spans="1:20">
      <c r="A6" s="54"/>
      <c r="B6" s="4" t="s">
        <v>29</v>
      </c>
      <c r="C6" s="4">
        <f>SUM(T13:T16)</f>
        <v>0</v>
      </c>
      <c r="D6" s="4">
        <f>SUM(T19:T22)</f>
        <v>0</v>
      </c>
      <c r="E6" s="4">
        <f>SUM(T25:T28)</f>
        <v>0</v>
      </c>
      <c r="F6" s="4">
        <f>SUM(T31:T34)</f>
        <v>0</v>
      </c>
      <c r="H6" s="46" t="s">
        <v>30</v>
      </c>
      <c r="I6" s="64">
        <f t="shared" ref="I6:I8" si="1">SUM(C25:F25)</f>
        <v>0</v>
      </c>
      <c r="K6" s="46" t="s">
        <v>31</v>
      </c>
      <c r="L6" s="64">
        <f t="shared" si="0"/>
        <v>-400000</v>
      </c>
      <c r="N6" s="46" t="s">
        <v>32</v>
      </c>
      <c r="O6" s="64"/>
      <c r="P6" s="46" t="s">
        <v>33</v>
      </c>
      <c r="Q6" s="64">
        <f>SUM(Q2:Q5)</f>
        <v>-100000</v>
      </c>
      <c r="S6" s="65" t="s">
        <v>34</v>
      </c>
      <c r="T6" s="65"/>
    </row>
    <row r="7" customHeight="1" spans="1:20">
      <c r="A7" s="54"/>
      <c r="B7" s="4" t="s">
        <v>35</v>
      </c>
      <c r="C7" s="4">
        <f>SUM(U13:U16)</f>
        <v>0</v>
      </c>
      <c r="D7" s="4">
        <f>SUM(U19:U22)</f>
        <v>0</v>
      </c>
      <c r="E7" s="4">
        <f>SUM(U25:U28)</f>
        <v>0</v>
      </c>
      <c r="F7" s="4">
        <f>SUM(U31:U34)</f>
        <v>0</v>
      </c>
      <c r="H7" s="46" t="s">
        <v>36</v>
      </c>
      <c r="I7" s="64">
        <f t="shared" si="1"/>
        <v>0</v>
      </c>
      <c r="K7" s="46" t="s">
        <v>37</v>
      </c>
      <c r="L7" s="64">
        <f>SUM(C46:F46)</f>
        <v>0</v>
      </c>
      <c r="N7" s="46" t="s">
        <v>38</v>
      </c>
      <c r="O7" s="64">
        <f>SUM(O2:O6)</f>
        <v>5300000</v>
      </c>
      <c r="P7" s="46" t="s">
        <v>39</v>
      </c>
      <c r="Q7" s="64">
        <f>第一年!A1</f>
        <v>6000000</v>
      </c>
      <c r="S7" s="42" t="s">
        <v>0</v>
      </c>
      <c r="T7" s="59">
        <f>第一年!T7</f>
        <v>0.02</v>
      </c>
    </row>
    <row r="8" customHeight="1" spans="1:20">
      <c r="A8" s="54"/>
      <c r="B8" s="55" t="s">
        <v>13</v>
      </c>
      <c r="C8" s="55"/>
      <c r="D8" s="55"/>
      <c r="E8" s="55"/>
      <c r="F8" s="55"/>
      <c r="H8" s="46" t="s">
        <v>40</v>
      </c>
      <c r="I8" s="64">
        <f t="shared" si="1"/>
        <v>0</v>
      </c>
      <c r="K8" s="46" t="s">
        <v>41</v>
      </c>
      <c r="L8" s="64">
        <f t="shared" si="0"/>
        <v>-400000</v>
      </c>
      <c r="N8" s="46" t="s">
        <v>42</v>
      </c>
      <c r="O8" s="64"/>
      <c r="P8" s="46" t="s">
        <v>43</v>
      </c>
      <c r="Q8" s="64">
        <f>第一年!Q10-第一年!Q7</f>
        <v>-300000</v>
      </c>
      <c r="S8" s="42" t="s">
        <v>1</v>
      </c>
      <c r="T8" s="59">
        <f>第一年!T8</f>
        <v>0.04</v>
      </c>
    </row>
    <row r="9" customHeight="1" spans="1:20">
      <c r="A9" s="54"/>
      <c r="B9" s="55" t="s">
        <v>18</v>
      </c>
      <c r="C9" s="55"/>
      <c r="D9" s="55"/>
      <c r="E9" s="55"/>
      <c r="F9" s="55"/>
      <c r="H9" s="46" t="s">
        <v>44</v>
      </c>
      <c r="I9" s="64"/>
      <c r="K9" s="46" t="s">
        <v>45</v>
      </c>
      <c r="L9" s="64">
        <f>SUM(C16:F18,C7:F7)</f>
        <v>0</v>
      </c>
      <c r="N9" s="46" t="s">
        <v>46</v>
      </c>
      <c r="O9" s="64"/>
      <c r="P9" s="46" t="s">
        <v>47</v>
      </c>
      <c r="Q9" s="64">
        <f>L13</f>
        <v>-300000</v>
      </c>
      <c r="S9" s="42" t="s">
        <v>2</v>
      </c>
      <c r="T9" s="59">
        <f>第一年!T9</f>
        <v>0.07</v>
      </c>
    </row>
    <row r="10" customHeight="1" spans="1:20">
      <c r="A10" s="54"/>
      <c r="B10" s="55" t="s">
        <v>23</v>
      </c>
      <c r="C10" s="55"/>
      <c r="D10" s="55"/>
      <c r="E10" s="55"/>
      <c r="F10" s="55"/>
      <c r="H10" s="46" t="s">
        <v>48</v>
      </c>
      <c r="I10" s="64">
        <f>SUM(C35:F35)</f>
        <v>0</v>
      </c>
      <c r="K10" s="46" t="s">
        <v>49</v>
      </c>
      <c r="L10" s="64"/>
      <c r="N10" s="46" t="s">
        <v>50</v>
      </c>
      <c r="O10" s="64">
        <f>SUM(O8:O9)</f>
        <v>0</v>
      </c>
      <c r="P10" s="46" t="s">
        <v>51</v>
      </c>
      <c r="Q10" s="64">
        <f>SUM(Q7:Q9)</f>
        <v>5400000</v>
      </c>
      <c r="S10" s="42" t="s">
        <v>3</v>
      </c>
      <c r="T10" s="59">
        <f>第一年!T10</f>
        <v>0.09</v>
      </c>
    </row>
    <row r="11" customHeight="1" spans="1:17">
      <c r="A11" s="54"/>
      <c r="B11" s="4" t="s">
        <v>52</v>
      </c>
      <c r="C11" s="4"/>
      <c r="D11" s="4"/>
      <c r="E11" s="4"/>
      <c r="F11" s="4"/>
      <c r="H11" s="46" t="s">
        <v>53</v>
      </c>
      <c r="I11" s="64"/>
      <c r="K11" s="46" t="s">
        <v>54</v>
      </c>
      <c r="L11" s="64">
        <f>L8-L9-L10</f>
        <v>-400000</v>
      </c>
      <c r="N11" s="46" t="s">
        <v>55</v>
      </c>
      <c r="O11" s="64">
        <f>O10+O7</f>
        <v>5300000</v>
      </c>
      <c r="P11" s="46" t="s">
        <v>55</v>
      </c>
      <c r="Q11" s="64">
        <f>Q10+Q6</f>
        <v>5300000</v>
      </c>
    </row>
    <row r="12" customHeight="1" spans="1:21">
      <c r="A12" s="54"/>
      <c r="B12" s="4" t="s">
        <v>56</v>
      </c>
      <c r="C12" s="4">
        <f>第一年!C9+第一年!C20</f>
        <v>0</v>
      </c>
      <c r="D12" s="4">
        <f>第一年!D9+第一年!D20</f>
        <v>0</v>
      </c>
      <c r="E12" s="4">
        <f>第一年!E9+第一年!E20</f>
        <v>0</v>
      </c>
      <c r="F12" s="4">
        <f>第一年!F9+第一年!F20</f>
        <v>0</v>
      </c>
      <c r="H12" s="46" t="s">
        <v>57</v>
      </c>
      <c r="I12" s="64">
        <f>SUM(C42:F42)</f>
        <v>0</v>
      </c>
      <c r="K12" s="46" t="s">
        <v>58</v>
      </c>
      <c r="L12" s="64">
        <f>L11*0.25</f>
        <v>-100000</v>
      </c>
      <c r="S12" s="65" t="s">
        <v>59</v>
      </c>
      <c r="T12" s="65" t="s">
        <v>29</v>
      </c>
      <c r="U12" s="65" t="s">
        <v>35</v>
      </c>
    </row>
    <row r="13" customHeight="1" spans="1:21">
      <c r="A13" s="54"/>
      <c r="B13" s="4" t="s">
        <v>60</v>
      </c>
      <c r="C13" s="4">
        <f>第一年!F10+第一年!F21</f>
        <v>0</v>
      </c>
      <c r="D13" s="4">
        <f>C10+C21</f>
        <v>0</v>
      </c>
      <c r="E13" s="4">
        <f>D10+D21</f>
        <v>0</v>
      </c>
      <c r="F13" s="4">
        <f>E10+E21</f>
        <v>0</v>
      </c>
      <c r="H13" s="46" t="s">
        <v>61</v>
      </c>
      <c r="I13" s="64"/>
      <c r="K13" s="46" t="s">
        <v>62</v>
      </c>
      <c r="L13" s="64">
        <f>L11-L12</f>
        <v>-300000</v>
      </c>
      <c r="S13" s="65">
        <v>1.2</v>
      </c>
      <c r="T13" s="59"/>
      <c r="U13" s="59">
        <f t="shared" ref="U13:U16" si="2">T13*T7</f>
        <v>0</v>
      </c>
    </row>
    <row r="14" customHeight="1" spans="1:21">
      <c r="A14" s="54"/>
      <c r="B14" s="48" t="s">
        <v>12</v>
      </c>
      <c r="C14" s="48">
        <f t="shared" ref="C14:F14" si="3">C3+C4+C5+C6-C7+C8+C9+C10-C11-C12-C13</f>
        <v>5700000</v>
      </c>
      <c r="D14" s="48">
        <f t="shared" si="3"/>
        <v>5600000</v>
      </c>
      <c r="E14" s="48">
        <f t="shared" si="3"/>
        <v>5500000</v>
      </c>
      <c r="F14" s="48">
        <f t="shared" si="3"/>
        <v>5400000</v>
      </c>
      <c r="H14" s="46" t="s">
        <v>63</v>
      </c>
      <c r="I14" s="64"/>
      <c r="S14" s="65">
        <v>1.3</v>
      </c>
      <c r="T14" s="59"/>
      <c r="U14" s="59">
        <f t="shared" si="2"/>
        <v>0</v>
      </c>
    </row>
    <row r="15" customHeight="1" spans="1:21">
      <c r="A15" s="54"/>
      <c r="B15" s="4" t="s">
        <v>10</v>
      </c>
      <c r="C15" s="4">
        <f>第一年!C15</f>
        <v>100000</v>
      </c>
      <c r="D15" s="4">
        <f>C15</f>
        <v>100000</v>
      </c>
      <c r="E15" s="4">
        <f>C15</f>
        <v>100000</v>
      </c>
      <c r="F15" s="4">
        <f>C15</f>
        <v>100000</v>
      </c>
      <c r="H15" s="46" t="s">
        <v>64</v>
      </c>
      <c r="I15" s="64">
        <f>SUM(C34:F34)</f>
        <v>0</v>
      </c>
      <c r="S15" s="65">
        <v>1.4</v>
      </c>
      <c r="T15" s="59"/>
      <c r="U15" s="59">
        <f t="shared" si="2"/>
        <v>0</v>
      </c>
    </row>
    <row r="16" customHeight="1" spans="1:21">
      <c r="A16" s="54"/>
      <c r="B16" s="55" t="s">
        <v>65</v>
      </c>
      <c r="C16" s="55">
        <f>第一年!F16+第一年!F8*第一年!T2+第一年!F19*第一年!T2</f>
        <v>0</v>
      </c>
      <c r="D16" s="55">
        <f>C8*T2+C19*T2+C16</f>
        <v>0</v>
      </c>
      <c r="E16" s="55">
        <f>D16+D8*T2+D19*T2</f>
        <v>0</v>
      </c>
      <c r="F16" s="55">
        <f>E16+E8*T2+E19*T2</f>
        <v>0</v>
      </c>
      <c r="H16" s="46" t="s">
        <v>66</v>
      </c>
      <c r="I16" s="64">
        <f>SUM(C28:F28,C38:F38,C44:F44)</f>
        <v>0</v>
      </c>
      <c r="S16" s="65">
        <v>2.1</v>
      </c>
      <c r="T16" s="59"/>
      <c r="U16" s="59">
        <f t="shared" si="2"/>
        <v>0</v>
      </c>
    </row>
    <row r="17" customHeight="1" spans="1:9">
      <c r="A17" s="54"/>
      <c r="B17" s="55" t="s">
        <v>67</v>
      </c>
      <c r="C17" s="55">
        <f>C12*T3</f>
        <v>0</v>
      </c>
      <c r="D17" s="55">
        <f>D12*T3</f>
        <v>0</v>
      </c>
      <c r="E17" s="55">
        <f>E12*T3</f>
        <v>0</v>
      </c>
      <c r="F17" s="55">
        <f>F12*T3</f>
        <v>0</v>
      </c>
      <c r="H17" s="46" t="s">
        <v>55</v>
      </c>
      <c r="I17" s="64">
        <f>SUM(I2:I16)</f>
        <v>400000</v>
      </c>
    </row>
    <row r="18" customHeight="1" spans="1:21">
      <c r="A18" s="54"/>
      <c r="B18" s="55" t="s">
        <v>68</v>
      </c>
      <c r="C18" s="55">
        <f>C13*T4</f>
        <v>0</v>
      </c>
      <c r="D18" s="55">
        <f>D13*T4</f>
        <v>0</v>
      </c>
      <c r="E18" s="55">
        <f>E13*T4</f>
        <v>0</v>
      </c>
      <c r="F18" s="55">
        <f>F13*T4</f>
        <v>0</v>
      </c>
      <c r="S18" s="65" t="s">
        <v>59</v>
      </c>
      <c r="T18" s="65" t="s">
        <v>29</v>
      </c>
      <c r="U18" s="65" t="s">
        <v>35</v>
      </c>
    </row>
    <row r="19" customHeight="1" spans="1:21">
      <c r="A19" s="54"/>
      <c r="B19" s="4" t="s">
        <v>13</v>
      </c>
      <c r="C19" s="4">
        <f t="shared" ref="C19:F19" si="4">C11</f>
        <v>0</v>
      </c>
      <c r="D19" s="4">
        <f t="shared" si="4"/>
        <v>0</v>
      </c>
      <c r="E19" s="4">
        <f t="shared" si="4"/>
        <v>0</v>
      </c>
      <c r="F19" s="4">
        <f t="shared" si="4"/>
        <v>0</v>
      </c>
      <c r="S19" s="65">
        <v>1.3</v>
      </c>
      <c r="T19" s="59"/>
      <c r="U19" s="59">
        <f t="shared" ref="U19:U22" si="5">T19*T7</f>
        <v>0</v>
      </c>
    </row>
    <row r="20" customHeight="1" spans="1:21">
      <c r="A20" s="54"/>
      <c r="B20" s="4" t="s">
        <v>18</v>
      </c>
      <c r="C20" s="4">
        <f t="shared" ref="C20:F20" si="6">C12</f>
        <v>0</v>
      </c>
      <c r="D20" s="4">
        <f t="shared" si="6"/>
        <v>0</v>
      </c>
      <c r="E20" s="4">
        <f t="shared" si="6"/>
        <v>0</v>
      </c>
      <c r="F20" s="4">
        <f t="shared" si="6"/>
        <v>0</v>
      </c>
      <c r="S20" s="65">
        <v>1.4</v>
      </c>
      <c r="T20" s="59"/>
      <c r="U20" s="59">
        <f t="shared" si="5"/>
        <v>0</v>
      </c>
    </row>
    <row r="21" customHeight="1" spans="1:21">
      <c r="A21" s="54"/>
      <c r="B21" s="4" t="s">
        <v>23</v>
      </c>
      <c r="C21" s="4">
        <f t="shared" ref="C21:F21" si="7">C13</f>
        <v>0</v>
      </c>
      <c r="D21" s="4">
        <f t="shared" si="7"/>
        <v>0</v>
      </c>
      <c r="E21" s="4">
        <f t="shared" si="7"/>
        <v>0</v>
      </c>
      <c r="F21" s="4">
        <f t="shared" si="7"/>
        <v>0</v>
      </c>
      <c r="S21" s="65">
        <v>2.1</v>
      </c>
      <c r="T21" s="59"/>
      <c r="U21" s="59">
        <f t="shared" si="5"/>
        <v>0</v>
      </c>
    </row>
    <row r="22" customHeight="1" spans="1:21">
      <c r="A22" s="54"/>
      <c r="B22" s="4" t="s">
        <v>69</v>
      </c>
      <c r="C22" s="4"/>
      <c r="D22" s="4"/>
      <c r="E22" s="4"/>
      <c r="F22" s="4"/>
      <c r="S22" s="65">
        <v>2.2</v>
      </c>
      <c r="T22" s="59"/>
      <c r="U22" s="59">
        <f t="shared" si="5"/>
        <v>0</v>
      </c>
    </row>
    <row r="23" customHeight="1" spans="1:6">
      <c r="A23" s="54"/>
      <c r="B23" s="48" t="s">
        <v>12</v>
      </c>
      <c r="C23" s="48">
        <f t="shared" ref="C23:F23" si="8">C14-C15-C16-C17-C18+C19+C20+C21</f>
        <v>5600000</v>
      </c>
      <c r="D23" s="48">
        <f t="shared" si="8"/>
        <v>5500000</v>
      </c>
      <c r="E23" s="48">
        <f t="shared" si="8"/>
        <v>5400000</v>
      </c>
      <c r="F23" s="48">
        <f t="shared" si="8"/>
        <v>5300000</v>
      </c>
    </row>
    <row r="24" customHeight="1" spans="1:21">
      <c r="A24" s="45" t="s">
        <v>70</v>
      </c>
      <c r="B24" s="55" t="s">
        <v>15</v>
      </c>
      <c r="C24" s="55"/>
      <c r="D24" s="55"/>
      <c r="E24" s="55"/>
      <c r="F24" s="55"/>
      <c r="S24" s="65" t="s">
        <v>59</v>
      </c>
      <c r="T24" s="65" t="s">
        <v>29</v>
      </c>
      <c r="U24" s="65" t="s">
        <v>35</v>
      </c>
    </row>
    <row r="25" customHeight="1" spans="1:21">
      <c r="A25" s="47"/>
      <c r="B25" s="4" t="s">
        <v>88</v>
      </c>
      <c r="C25" s="4"/>
      <c r="D25" s="4"/>
      <c r="E25" s="4"/>
      <c r="F25" s="4"/>
      <c r="S25" s="65">
        <v>1.4</v>
      </c>
      <c r="T25" s="59"/>
      <c r="U25" s="59">
        <f t="shared" ref="U25:U28" si="9">T25*T7</f>
        <v>0</v>
      </c>
    </row>
    <row r="26" customHeight="1" spans="1:21">
      <c r="A26" s="47"/>
      <c r="B26" s="4" t="s">
        <v>89</v>
      </c>
      <c r="C26" s="4"/>
      <c r="D26" s="4"/>
      <c r="E26" s="4"/>
      <c r="F26" s="4"/>
      <c r="S26" s="65">
        <v>2.1</v>
      </c>
      <c r="T26" s="59"/>
      <c r="U26" s="59">
        <f t="shared" si="9"/>
        <v>0</v>
      </c>
    </row>
    <row r="27" customHeight="1" spans="1:21">
      <c r="A27" s="47"/>
      <c r="B27" s="4" t="s">
        <v>72</v>
      </c>
      <c r="C27" s="4"/>
      <c r="D27" s="4"/>
      <c r="E27" s="4"/>
      <c r="F27" s="4"/>
      <c r="S27" s="65">
        <v>2.2</v>
      </c>
      <c r="T27" s="59"/>
      <c r="U27" s="59">
        <f t="shared" si="9"/>
        <v>0</v>
      </c>
    </row>
    <row r="28" customHeight="1" spans="1:21">
      <c r="A28" s="47"/>
      <c r="B28" s="4" t="s">
        <v>66</v>
      </c>
      <c r="C28" s="4"/>
      <c r="D28" s="4"/>
      <c r="E28" s="4"/>
      <c r="F28" s="4"/>
      <c r="S28" s="65">
        <v>2.3</v>
      </c>
      <c r="T28" s="59"/>
      <c r="U28" s="59">
        <f t="shared" si="9"/>
        <v>0</v>
      </c>
    </row>
    <row r="29" customHeight="1" spans="1:21">
      <c r="A29" s="49"/>
      <c r="B29" s="48" t="s">
        <v>73</v>
      </c>
      <c r="C29" s="48">
        <f t="shared" ref="C29:F29" si="10">SUM(C24:C28)</f>
        <v>0</v>
      </c>
      <c r="D29" s="48">
        <f t="shared" si="10"/>
        <v>0</v>
      </c>
      <c r="E29" s="48">
        <f t="shared" si="10"/>
        <v>0</v>
      </c>
      <c r="F29" s="48">
        <f t="shared" si="10"/>
        <v>0</v>
      </c>
      <c r="S29" s="53"/>
      <c r="T29" s="53"/>
      <c r="U29" s="53"/>
    </row>
    <row r="30" customHeight="1" spans="1:21">
      <c r="A30" s="56" t="s">
        <v>74</v>
      </c>
      <c r="B30" s="4" t="s">
        <v>75</v>
      </c>
      <c r="C30" s="4"/>
      <c r="D30" s="4"/>
      <c r="E30" s="4"/>
      <c r="F30" s="4"/>
      <c r="S30" s="65" t="s">
        <v>59</v>
      </c>
      <c r="T30" s="65" t="s">
        <v>29</v>
      </c>
      <c r="U30" s="65" t="s">
        <v>35</v>
      </c>
    </row>
    <row r="31" customHeight="1" spans="1:21">
      <c r="A31" s="57"/>
      <c r="B31" s="4" t="s">
        <v>25</v>
      </c>
      <c r="C31" s="4"/>
      <c r="D31" s="4"/>
      <c r="E31" s="4"/>
      <c r="F31" s="4"/>
      <c r="S31" s="65">
        <v>2.1</v>
      </c>
      <c r="T31" s="59"/>
      <c r="U31" s="59">
        <f t="shared" ref="U31:U34" si="11">T31*T7</f>
        <v>0</v>
      </c>
    </row>
    <row r="32" customHeight="1" spans="1:21">
      <c r="A32" s="57"/>
      <c r="B32" s="4" t="s">
        <v>76</v>
      </c>
      <c r="C32" s="4"/>
      <c r="D32" s="4"/>
      <c r="E32" s="4"/>
      <c r="F32" s="4"/>
      <c r="S32" s="65">
        <v>2.2</v>
      </c>
      <c r="T32" s="59"/>
      <c r="U32" s="59">
        <f t="shared" si="11"/>
        <v>0</v>
      </c>
    </row>
    <row r="33" customHeight="1" spans="1:21">
      <c r="A33" s="57"/>
      <c r="B33" s="52" t="s">
        <v>77</v>
      </c>
      <c r="C33" s="52"/>
      <c r="D33" s="52"/>
      <c r="E33" s="52"/>
      <c r="F33" s="52"/>
      <c r="S33" s="65">
        <v>2.3</v>
      </c>
      <c r="T33" s="59"/>
      <c r="U33" s="59">
        <f t="shared" si="11"/>
        <v>0</v>
      </c>
    </row>
    <row r="34" customHeight="1" spans="1:21">
      <c r="A34" s="57"/>
      <c r="B34" s="4" t="s">
        <v>78</v>
      </c>
      <c r="C34" s="4"/>
      <c r="D34" s="4"/>
      <c r="E34" s="4"/>
      <c r="F34" s="4"/>
      <c r="S34" s="65">
        <v>2.4</v>
      </c>
      <c r="T34" s="59"/>
      <c r="U34" s="59">
        <f t="shared" si="11"/>
        <v>0</v>
      </c>
    </row>
    <row r="35" customHeight="1" spans="1:6">
      <c r="A35" s="57"/>
      <c r="B35" s="4" t="s">
        <v>48</v>
      </c>
      <c r="C35" s="4"/>
      <c r="D35" s="4"/>
      <c r="E35" s="4"/>
      <c r="F35" s="4"/>
    </row>
    <row r="36" customHeight="1" spans="1:6">
      <c r="A36" s="57"/>
      <c r="B36" s="4" t="s">
        <v>79</v>
      </c>
      <c r="C36" s="4"/>
      <c r="D36" s="4"/>
      <c r="E36" s="4"/>
      <c r="F36" s="4"/>
    </row>
    <row r="37" customHeight="1" spans="1:6">
      <c r="A37" s="57"/>
      <c r="B37" s="4" t="s">
        <v>80</v>
      </c>
      <c r="C37" s="4"/>
      <c r="D37" s="4"/>
      <c r="E37" s="4"/>
      <c r="F37" s="4"/>
    </row>
    <row r="38" customHeight="1" spans="1:6">
      <c r="A38" s="57"/>
      <c r="B38" s="4" t="s">
        <v>66</v>
      </c>
      <c r="C38" s="4"/>
      <c r="D38" s="4"/>
      <c r="E38" s="4"/>
      <c r="F38" s="4"/>
    </row>
    <row r="39" customHeight="1" spans="1:6">
      <c r="A39" s="58"/>
      <c r="B39" s="48" t="s">
        <v>73</v>
      </c>
      <c r="C39" s="48">
        <f t="shared" ref="C39:F39" si="12">SUM(C30:C38)-C37-C36</f>
        <v>0</v>
      </c>
      <c r="D39" s="48">
        <f t="shared" si="12"/>
        <v>0</v>
      </c>
      <c r="E39" s="48">
        <f t="shared" si="12"/>
        <v>0</v>
      </c>
      <c r="F39" s="48">
        <f t="shared" si="12"/>
        <v>0</v>
      </c>
    </row>
    <row r="40" customHeight="1" spans="1:6">
      <c r="A40" s="56" t="s">
        <v>81</v>
      </c>
      <c r="B40" s="4" t="s">
        <v>82</v>
      </c>
      <c r="C40" s="4"/>
      <c r="D40" s="4"/>
      <c r="E40" s="4"/>
      <c r="F40" s="4"/>
    </row>
    <row r="41" customHeight="1" spans="1:6">
      <c r="A41" s="57"/>
      <c r="B41" s="4" t="s">
        <v>83</v>
      </c>
      <c r="C41" s="4"/>
      <c r="D41" s="4"/>
      <c r="E41" s="4"/>
      <c r="F41" s="4"/>
    </row>
    <row r="42" customHeight="1" spans="1:6">
      <c r="A42" s="57"/>
      <c r="B42" s="55" t="s">
        <v>84</v>
      </c>
      <c r="C42" s="55"/>
      <c r="D42" s="55"/>
      <c r="E42" s="55"/>
      <c r="F42" s="55"/>
    </row>
    <row r="43" customHeight="1" spans="1:6">
      <c r="A43" s="57"/>
      <c r="B43" s="4" t="s">
        <v>85</v>
      </c>
      <c r="C43" s="4"/>
      <c r="D43" s="4"/>
      <c r="E43" s="4"/>
      <c r="F43" s="4"/>
    </row>
    <row r="44" customHeight="1" spans="1:6">
      <c r="A44" s="57"/>
      <c r="B44" s="4" t="s">
        <v>66</v>
      </c>
      <c r="C44" s="4"/>
      <c r="D44" s="4"/>
      <c r="E44" s="4"/>
      <c r="F44" s="4"/>
    </row>
    <row r="45" customHeight="1" spans="1:6">
      <c r="A45" s="58"/>
      <c r="B45" s="48" t="s">
        <v>73</v>
      </c>
      <c r="C45" s="48">
        <f t="shared" ref="C45:F45" si="13">SUM(C40:C44)-C43</f>
        <v>0</v>
      </c>
      <c r="D45" s="48">
        <f t="shared" si="13"/>
        <v>0</v>
      </c>
      <c r="E45" s="48">
        <f t="shared" si="13"/>
        <v>0</v>
      </c>
      <c r="F45" s="48">
        <f t="shared" si="13"/>
        <v>0</v>
      </c>
    </row>
    <row r="46" customHeight="1" spans="1:6">
      <c r="A46" s="57" t="s">
        <v>86</v>
      </c>
      <c r="B46" s="59" t="s">
        <v>37</v>
      </c>
      <c r="C46" s="59"/>
      <c r="D46" s="59"/>
      <c r="E46" s="59"/>
      <c r="F46" s="59"/>
    </row>
    <row r="47" customHeight="1" spans="1:6">
      <c r="A47" s="57"/>
      <c r="B47" s="4" t="s">
        <v>87</v>
      </c>
      <c r="C47" s="4">
        <f t="shared" ref="C47:F47" si="14">C45+C39+C29+C23</f>
        <v>5600000</v>
      </c>
      <c r="D47" s="4">
        <f t="shared" si="14"/>
        <v>5500000</v>
      </c>
      <c r="E47" s="4">
        <f t="shared" si="14"/>
        <v>5400000</v>
      </c>
      <c r="F47" s="4">
        <f t="shared" si="14"/>
        <v>5300000</v>
      </c>
    </row>
    <row r="48" customHeight="1" spans="1:7">
      <c r="A48" s="58"/>
      <c r="B48" s="48" t="s">
        <v>12</v>
      </c>
      <c r="C48" s="48">
        <f t="shared" ref="C48:F48" si="15">C23-C29-C30-C31-C32-C33-C34-C35+C36+C37-C38-C40-C41-C42-C43-C44</f>
        <v>5600000</v>
      </c>
      <c r="D48" s="48">
        <f t="shared" si="15"/>
        <v>5500000</v>
      </c>
      <c r="E48" s="48">
        <f t="shared" si="15"/>
        <v>5400000</v>
      </c>
      <c r="F48" s="48">
        <f t="shared" si="15"/>
        <v>5300000</v>
      </c>
      <c r="G48" s="60">
        <f>F48-L12</f>
        <v>5400000</v>
      </c>
    </row>
  </sheetData>
  <mergeCells count="12">
    <mergeCell ref="H1:I1"/>
    <mergeCell ref="K1:L1"/>
    <mergeCell ref="N1:Q1"/>
    <mergeCell ref="S1:T1"/>
    <mergeCell ref="S6:T6"/>
    <mergeCell ref="A2:A4"/>
    <mergeCell ref="A5:A23"/>
    <mergeCell ref="A24:A29"/>
    <mergeCell ref="A30:A39"/>
    <mergeCell ref="A40:A45"/>
    <mergeCell ref="A46:A48"/>
    <mergeCell ref="G1:G4"/>
  </mergeCells>
  <conditionalFormatting sqref="C3:F3 O2 C48:F48">
    <cfRule type="cellIs" dxfId="0" priority="1" operator="lessThan">
      <formula>0</formula>
    </cfRule>
  </conditionalFormatting>
  <conditionalFormatting sqref="C3:F3 C48:F48">
    <cfRule type="cellIs" dxfId="1" priority="2" operator="less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abSelected="1" workbookViewId="0">
      <selection activeCell="F16" sqref="F16"/>
    </sheetView>
  </sheetViews>
  <sheetFormatPr defaultColWidth="10.5" defaultRowHeight="14.1" customHeight="1"/>
  <cols>
    <col min="1" max="1" width="8" style="1" customWidth="1"/>
    <col min="2" max="6" width="10.5" style="1" customWidth="1"/>
    <col min="7" max="7" width="8" style="1" customWidth="1"/>
    <col min="8" max="9" width="10.5" style="1" customWidth="1"/>
    <col min="10" max="10" width="8" style="1" customWidth="1"/>
    <col min="11" max="12" width="10.5" style="1" customWidth="1"/>
    <col min="13" max="13" width="8" style="1" customWidth="1"/>
    <col min="14" max="17" width="10.5" style="1" customWidth="1"/>
    <col min="18" max="19" width="8" style="1" customWidth="1"/>
    <col min="20" max="21" width="10" style="1" customWidth="1"/>
    <col min="22" max="22" width="10.5" style="1" customWidth="1"/>
    <col min="23" max="16384" width="10.5" style="1"/>
  </cols>
  <sheetData>
    <row r="1" customHeight="1" spans="1:20">
      <c r="A1" s="42">
        <v>100000</v>
      </c>
      <c r="B1" s="42"/>
      <c r="C1" s="42" t="s">
        <v>0</v>
      </c>
      <c r="D1" s="42" t="s">
        <v>1</v>
      </c>
      <c r="E1" s="42" t="s">
        <v>2</v>
      </c>
      <c r="F1" s="42" t="s">
        <v>3</v>
      </c>
      <c r="G1" s="43">
        <f>第二年!Q10*3-Q2-Q3</f>
        <v>16200000</v>
      </c>
      <c r="H1" s="44" t="s">
        <v>4</v>
      </c>
      <c r="I1" s="44"/>
      <c r="K1" s="61" t="s">
        <v>5</v>
      </c>
      <c r="L1" s="62"/>
      <c r="N1" s="61" t="s">
        <v>6</v>
      </c>
      <c r="O1" s="63"/>
      <c r="P1" s="63"/>
      <c r="Q1" s="62"/>
      <c r="S1" s="65" t="s">
        <v>7</v>
      </c>
      <c r="T1" s="65"/>
    </row>
    <row r="2" customHeight="1" spans="1:20">
      <c r="A2" s="45" t="s">
        <v>8</v>
      </c>
      <c r="B2" s="42" t="s">
        <v>9</v>
      </c>
      <c r="C2" s="42"/>
      <c r="D2" s="42"/>
      <c r="E2" s="42"/>
      <c r="F2" s="42"/>
      <c r="G2" s="43"/>
      <c r="H2" s="46" t="s">
        <v>10</v>
      </c>
      <c r="I2" s="64">
        <f>SUM(C15:F15)</f>
        <v>400000</v>
      </c>
      <c r="K2" s="46" t="s">
        <v>11</v>
      </c>
      <c r="L2" s="64"/>
      <c r="N2" s="46" t="s">
        <v>12</v>
      </c>
      <c r="O2" s="64">
        <f>F48</f>
        <v>5000000</v>
      </c>
      <c r="P2" s="46" t="s">
        <v>13</v>
      </c>
      <c r="Q2" s="64">
        <f>SUM(C8:F8,C19:F19)+第二年!Q2-C11-D11-E11-F11</f>
        <v>0</v>
      </c>
      <c r="S2" s="42" t="s">
        <v>13</v>
      </c>
      <c r="T2" s="59">
        <f>第一年!T2</f>
        <v>0.03</v>
      </c>
    </row>
    <row r="3" customHeight="1" spans="1:20">
      <c r="A3" s="47"/>
      <c r="B3" s="48" t="s">
        <v>14</v>
      </c>
      <c r="C3" s="48">
        <f>第二年!G48-C2</f>
        <v>5400000</v>
      </c>
      <c r="D3" s="48">
        <f>C48-D2</f>
        <v>5300000</v>
      </c>
      <c r="E3" s="48">
        <f>D48-E2</f>
        <v>5200000</v>
      </c>
      <c r="F3" s="48">
        <f>E48-F2</f>
        <v>5100000</v>
      </c>
      <c r="G3" s="43"/>
      <c r="H3" s="46" t="s">
        <v>15</v>
      </c>
      <c r="I3" s="64">
        <f>SUM(C24:F24)</f>
        <v>0</v>
      </c>
      <c r="K3" s="46" t="s">
        <v>16</v>
      </c>
      <c r="L3" s="64">
        <f>C32+D32+E32+C33+D33+E33+C40+D40+E40+F40+第二年!F32+第二年!F33</f>
        <v>0</v>
      </c>
      <c r="N3" s="46" t="s">
        <v>17</v>
      </c>
      <c r="O3" s="64">
        <f>SUM(G5:G8)</f>
        <v>0</v>
      </c>
      <c r="P3" s="46" t="s">
        <v>18</v>
      </c>
      <c r="Q3" s="64">
        <f>SUM(C9:F10,C20:F21)</f>
        <v>0</v>
      </c>
      <c r="S3" s="42" t="s">
        <v>18</v>
      </c>
      <c r="T3" s="59">
        <f>第一年!T3</f>
        <v>0.07</v>
      </c>
    </row>
    <row r="4" customHeight="1" spans="1:20">
      <c r="A4" s="49"/>
      <c r="B4" s="4" t="s">
        <v>19</v>
      </c>
      <c r="C4" s="4"/>
      <c r="D4" s="4"/>
      <c r="E4" s="4"/>
      <c r="F4" s="4"/>
      <c r="G4" s="50"/>
      <c r="H4" s="46" t="s">
        <v>9</v>
      </c>
      <c r="I4" s="64">
        <f>SUM(C2:F2)</f>
        <v>0</v>
      </c>
      <c r="K4" s="46" t="s">
        <v>20</v>
      </c>
      <c r="L4" s="64">
        <f t="shared" ref="L4:L8" si="0">L2-L3</f>
        <v>0</v>
      </c>
      <c r="N4" s="46" t="s">
        <v>21</v>
      </c>
      <c r="O4" s="64"/>
      <c r="P4" s="46" t="s">
        <v>22</v>
      </c>
      <c r="Q4" s="64">
        <f>F40</f>
        <v>0</v>
      </c>
      <c r="S4" s="42" t="s">
        <v>23</v>
      </c>
      <c r="T4" s="59">
        <f>第一年!T4</f>
        <v>0.04</v>
      </c>
    </row>
    <row r="5" customHeight="1" spans="1:17">
      <c r="A5" s="51" t="s">
        <v>24</v>
      </c>
      <c r="B5" s="52" t="s">
        <v>17</v>
      </c>
      <c r="C5" s="52"/>
      <c r="D5" s="52"/>
      <c r="E5" s="52"/>
      <c r="F5" s="52"/>
      <c r="G5" s="53"/>
      <c r="H5" s="46" t="s">
        <v>25</v>
      </c>
      <c r="I5" s="64">
        <f>SUM(C31:F31)</f>
        <v>0</v>
      </c>
      <c r="K5" s="46" t="s">
        <v>26</v>
      </c>
      <c r="L5" s="64">
        <f>I17</f>
        <v>400000</v>
      </c>
      <c r="N5" s="46" t="s">
        <v>27</v>
      </c>
      <c r="O5" s="64"/>
      <c r="P5" s="46" t="s">
        <v>28</v>
      </c>
      <c r="Q5" s="64">
        <f>L12</f>
        <v>-100000</v>
      </c>
    </row>
    <row r="6" customHeight="1" spans="1:20">
      <c r="A6" s="54"/>
      <c r="B6" s="4" t="s">
        <v>29</v>
      </c>
      <c r="C6" s="4">
        <f>SUM(T13:T16)</f>
        <v>0</v>
      </c>
      <c r="D6" s="4">
        <f>SUM(T19:T22)</f>
        <v>0</v>
      </c>
      <c r="E6" s="4">
        <f>SUM(T25:T28)</f>
        <v>0</v>
      </c>
      <c r="F6" s="4">
        <f>SUM(T31:T34)</f>
        <v>0</v>
      </c>
      <c r="H6" s="46" t="s">
        <v>30</v>
      </c>
      <c r="I6" s="64">
        <f t="shared" ref="I6:I8" si="1">SUM(C25:F25)</f>
        <v>0</v>
      </c>
      <c r="K6" s="46" t="s">
        <v>31</v>
      </c>
      <c r="L6" s="64">
        <f t="shared" si="0"/>
        <v>-400000</v>
      </c>
      <c r="N6" s="46" t="s">
        <v>32</v>
      </c>
      <c r="O6" s="64"/>
      <c r="P6" s="46" t="s">
        <v>33</v>
      </c>
      <c r="Q6" s="64">
        <f>SUM(Q2:Q5)</f>
        <v>-100000</v>
      </c>
      <c r="S6" s="65" t="s">
        <v>34</v>
      </c>
      <c r="T6" s="65"/>
    </row>
    <row r="7" customHeight="1" spans="1:20">
      <c r="A7" s="54"/>
      <c r="B7" s="4" t="s">
        <v>35</v>
      </c>
      <c r="C7" s="4">
        <f>SUM(U13:U16)</f>
        <v>0</v>
      </c>
      <c r="D7" s="4">
        <f>SUM(U19:U22)</f>
        <v>0</v>
      </c>
      <c r="E7" s="4">
        <f>SUM(U25:U28)</f>
        <v>0</v>
      </c>
      <c r="F7" s="4">
        <f>SUM(U31:U34)</f>
        <v>0</v>
      </c>
      <c r="H7" s="46" t="s">
        <v>36</v>
      </c>
      <c r="I7" s="64">
        <f t="shared" si="1"/>
        <v>0</v>
      </c>
      <c r="K7" s="46" t="s">
        <v>37</v>
      </c>
      <c r="L7" s="64">
        <f>SUM(C46:F46)</f>
        <v>0</v>
      </c>
      <c r="N7" s="46" t="s">
        <v>38</v>
      </c>
      <c r="O7" s="64">
        <f>SUM(O2:O6)</f>
        <v>5000000</v>
      </c>
      <c r="P7" s="46" t="s">
        <v>39</v>
      </c>
      <c r="Q7" s="64">
        <f>第一年!A1</f>
        <v>6000000</v>
      </c>
      <c r="S7" s="42" t="s">
        <v>0</v>
      </c>
      <c r="T7" s="59">
        <f>第一年!T7</f>
        <v>0.02</v>
      </c>
    </row>
    <row r="8" customHeight="1" spans="1:20">
      <c r="A8" s="54"/>
      <c r="B8" s="55" t="s">
        <v>13</v>
      </c>
      <c r="C8" s="55"/>
      <c r="D8" s="55"/>
      <c r="E8" s="55"/>
      <c r="F8" s="55"/>
      <c r="H8" s="46" t="s">
        <v>40</v>
      </c>
      <c r="I8" s="64">
        <f t="shared" si="1"/>
        <v>0</v>
      </c>
      <c r="K8" s="46" t="s">
        <v>41</v>
      </c>
      <c r="L8" s="64">
        <f t="shared" si="0"/>
        <v>-400000</v>
      </c>
      <c r="N8" s="46" t="s">
        <v>42</v>
      </c>
      <c r="O8" s="64"/>
      <c r="P8" s="46" t="s">
        <v>43</v>
      </c>
      <c r="Q8" s="64">
        <f>第二年!Q10-第二年!Q7</f>
        <v>-600000</v>
      </c>
      <c r="S8" s="42" t="s">
        <v>1</v>
      </c>
      <c r="T8" s="59">
        <f>第一年!T8</f>
        <v>0.04</v>
      </c>
    </row>
    <row r="9" customHeight="1" spans="1:20">
      <c r="A9" s="54"/>
      <c r="B9" s="55" t="s">
        <v>18</v>
      </c>
      <c r="C9" s="55"/>
      <c r="D9" s="55"/>
      <c r="E9" s="55"/>
      <c r="F9" s="55"/>
      <c r="H9" s="46" t="s">
        <v>44</v>
      </c>
      <c r="I9" s="64"/>
      <c r="K9" s="46" t="s">
        <v>45</v>
      </c>
      <c r="L9" s="64">
        <f>SUM(C16:F18,C7:F7)</f>
        <v>0</v>
      </c>
      <c r="N9" s="46" t="s">
        <v>46</v>
      </c>
      <c r="O9" s="64"/>
      <c r="P9" s="46" t="s">
        <v>47</v>
      </c>
      <c r="Q9" s="64">
        <f>L13</f>
        <v>-300000</v>
      </c>
      <c r="S9" s="42" t="s">
        <v>2</v>
      </c>
      <c r="T9" s="59">
        <f>第一年!T9</f>
        <v>0.07</v>
      </c>
    </row>
    <row r="10" customHeight="1" spans="1:20">
      <c r="A10" s="54"/>
      <c r="B10" s="55" t="s">
        <v>23</v>
      </c>
      <c r="C10" s="55"/>
      <c r="D10" s="55"/>
      <c r="E10" s="55"/>
      <c r="F10" s="55"/>
      <c r="H10" s="46" t="s">
        <v>48</v>
      </c>
      <c r="I10" s="64">
        <f>SUM(C35:F35)</f>
        <v>0</v>
      </c>
      <c r="K10" s="46" t="s">
        <v>49</v>
      </c>
      <c r="L10" s="64"/>
      <c r="N10" s="46" t="s">
        <v>50</v>
      </c>
      <c r="O10" s="64">
        <f>SUM(O8:O9)</f>
        <v>0</v>
      </c>
      <c r="P10" s="46" t="s">
        <v>51</v>
      </c>
      <c r="Q10" s="64">
        <f>SUM(Q7:Q9)</f>
        <v>5100000</v>
      </c>
      <c r="S10" s="42" t="s">
        <v>3</v>
      </c>
      <c r="T10" s="59">
        <f>第一年!T10</f>
        <v>0.09</v>
      </c>
    </row>
    <row r="11" customHeight="1" spans="1:17">
      <c r="A11" s="54"/>
      <c r="B11" s="4" t="s">
        <v>52</v>
      </c>
      <c r="C11" s="4">
        <f>第一年!C8+第一年!C19</f>
        <v>0</v>
      </c>
      <c r="D11" s="4">
        <f>第一年!D8+第一年!D19</f>
        <v>0</v>
      </c>
      <c r="E11" s="4">
        <f>第一年!E8+第一年!E19</f>
        <v>0</v>
      </c>
      <c r="F11" s="4">
        <f>第一年!F8+第一年!F19</f>
        <v>0</v>
      </c>
      <c r="H11" s="46" t="s">
        <v>53</v>
      </c>
      <c r="I11" s="64"/>
      <c r="K11" s="46" t="s">
        <v>54</v>
      </c>
      <c r="L11" s="64">
        <f>L8-L9-L10</f>
        <v>-400000</v>
      </c>
      <c r="N11" s="46" t="s">
        <v>55</v>
      </c>
      <c r="O11" s="64">
        <f>O10+O7</f>
        <v>5000000</v>
      </c>
      <c r="P11" s="46" t="s">
        <v>55</v>
      </c>
      <c r="Q11" s="64">
        <f>Q10+Q6</f>
        <v>5000000</v>
      </c>
    </row>
    <row r="12" customHeight="1" spans="1:21">
      <c r="A12" s="54"/>
      <c r="B12" s="4" t="s">
        <v>56</v>
      </c>
      <c r="C12" s="4">
        <f>第二年!C9+第二年!C20</f>
        <v>0</v>
      </c>
      <c r="D12" s="4">
        <f>第二年!D9+第二年!D20</f>
        <v>0</v>
      </c>
      <c r="E12" s="4">
        <f>第二年!E9+第二年!E20</f>
        <v>0</v>
      </c>
      <c r="F12" s="4">
        <f>第二年!F9+第二年!F20</f>
        <v>0</v>
      </c>
      <c r="H12" s="46" t="s">
        <v>57</v>
      </c>
      <c r="I12" s="64">
        <f>SUM(C42:F42)</f>
        <v>0</v>
      </c>
      <c r="K12" s="46" t="s">
        <v>58</v>
      </c>
      <c r="L12" s="64">
        <f>L11*0.25</f>
        <v>-100000</v>
      </c>
      <c r="S12" s="65" t="s">
        <v>59</v>
      </c>
      <c r="T12" s="65" t="s">
        <v>29</v>
      </c>
      <c r="U12" s="65" t="s">
        <v>35</v>
      </c>
    </row>
    <row r="13" customHeight="1" spans="1:21">
      <c r="A13" s="54"/>
      <c r="B13" s="4" t="s">
        <v>60</v>
      </c>
      <c r="C13" s="4">
        <f>第二年!F10+第二年!F21</f>
        <v>0</v>
      </c>
      <c r="D13" s="4">
        <f>C10+C21</f>
        <v>0</v>
      </c>
      <c r="E13" s="4">
        <f>D10+D21</f>
        <v>0</v>
      </c>
      <c r="F13" s="4">
        <f>E10+E21</f>
        <v>0</v>
      </c>
      <c r="H13" s="46" t="s">
        <v>61</v>
      </c>
      <c r="I13" s="64"/>
      <c r="K13" s="46" t="s">
        <v>62</v>
      </c>
      <c r="L13" s="64">
        <f>L11-L12</f>
        <v>-300000</v>
      </c>
      <c r="S13" s="65">
        <v>1.2</v>
      </c>
      <c r="T13" s="59"/>
      <c r="U13" s="59">
        <f t="shared" ref="U13:U16" si="2">T13*T7</f>
        <v>0</v>
      </c>
    </row>
    <row r="14" customHeight="1" spans="1:21">
      <c r="A14" s="54"/>
      <c r="B14" s="48" t="s">
        <v>12</v>
      </c>
      <c r="C14" s="48">
        <f t="shared" ref="C14:F14" si="3">C3+C4+C5+C6-C7+C8+C9+C10-C11-C12-C13</f>
        <v>5400000</v>
      </c>
      <c r="D14" s="48">
        <f t="shared" si="3"/>
        <v>5300000</v>
      </c>
      <c r="E14" s="48">
        <f t="shared" si="3"/>
        <v>5200000</v>
      </c>
      <c r="F14" s="48">
        <f t="shared" si="3"/>
        <v>5100000</v>
      </c>
      <c r="H14" s="46" t="s">
        <v>63</v>
      </c>
      <c r="I14" s="64"/>
      <c r="S14" s="65">
        <v>1.3</v>
      </c>
      <c r="T14" s="59"/>
      <c r="U14" s="59">
        <f t="shared" si="2"/>
        <v>0</v>
      </c>
    </row>
    <row r="15" customHeight="1" spans="1:21">
      <c r="A15" s="54"/>
      <c r="B15" s="4" t="s">
        <v>10</v>
      </c>
      <c r="C15" s="4">
        <f>第一年!C15</f>
        <v>100000</v>
      </c>
      <c r="D15" s="4">
        <f>C15</f>
        <v>100000</v>
      </c>
      <c r="E15" s="4">
        <f>C15</f>
        <v>100000</v>
      </c>
      <c r="F15" s="4">
        <f>C15</f>
        <v>100000</v>
      </c>
      <c r="H15" s="46" t="s">
        <v>64</v>
      </c>
      <c r="I15" s="64">
        <f>SUM(C34:F34)</f>
        <v>0</v>
      </c>
      <c r="S15" s="65">
        <v>1.4</v>
      </c>
      <c r="T15" s="59"/>
      <c r="U15" s="59">
        <f t="shared" si="2"/>
        <v>0</v>
      </c>
    </row>
    <row r="16" customHeight="1" spans="1:21">
      <c r="A16" s="54"/>
      <c r="B16" s="55" t="s">
        <v>65</v>
      </c>
      <c r="C16" s="55">
        <f>第二年!F16+第二年!F8*第二年!T2+第二年!F19*第二年!T2-C11*T2</f>
        <v>0</v>
      </c>
      <c r="D16" s="55">
        <f>C8*T2+C19*T2+C16-D11*T2</f>
        <v>0</v>
      </c>
      <c r="E16" s="55">
        <f>D16+D8*T2+D19*T2</f>
        <v>0</v>
      </c>
      <c r="F16" s="55">
        <f>E16+E8*T2+E19*T2</f>
        <v>0</v>
      </c>
      <c r="H16" s="46" t="s">
        <v>66</v>
      </c>
      <c r="I16" s="64">
        <f>SUM(C28:F28,C38:F38,C44:F44)</f>
        <v>0</v>
      </c>
      <c r="S16" s="65">
        <v>2.1</v>
      </c>
      <c r="T16" s="59"/>
      <c r="U16" s="59">
        <f t="shared" si="2"/>
        <v>0</v>
      </c>
    </row>
    <row r="17" customHeight="1" spans="1:9">
      <c r="A17" s="54"/>
      <c r="B17" s="55" t="s">
        <v>67</v>
      </c>
      <c r="C17" s="55">
        <f>C12*T3</f>
        <v>0</v>
      </c>
      <c r="D17" s="55">
        <f>D12*T3</f>
        <v>0</v>
      </c>
      <c r="E17" s="55">
        <f>E12*T3</f>
        <v>0</v>
      </c>
      <c r="F17" s="55">
        <f>F12*T3</f>
        <v>0</v>
      </c>
      <c r="H17" s="46" t="s">
        <v>55</v>
      </c>
      <c r="I17" s="64">
        <f>SUM(I2:I16)</f>
        <v>400000</v>
      </c>
    </row>
    <row r="18" customHeight="1" spans="1:21">
      <c r="A18" s="54"/>
      <c r="B18" s="55" t="s">
        <v>68</v>
      </c>
      <c r="C18" s="55">
        <f>C13*T4</f>
        <v>0</v>
      </c>
      <c r="D18" s="55">
        <f>D13*T4</f>
        <v>0</v>
      </c>
      <c r="E18" s="55">
        <f>E13*T4</f>
        <v>0</v>
      </c>
      <c r="F18" s="55">
        <f>F13*T4</f>
        <v>0</v>
      </c>
      <c r="S18" s="65" t="s">
        <v>59</v>
      </c>
      <c r="T18" s="65" t="s">
        <v>29</v>
      </c>
      <c r="U18" s="65" t="s">
        <v>35</v>
      </c>
    </row>
    <row r="19" customHeight="1" spans="1:21">
      <c r="A19" s="54"/>
      <c r="B19" s="4" t="s">
        <v>13</v>
      </c>
      <c r="C19" s="4">
        <f>C11</f>
        <v>0</v>
      </c>
      <c r="D19" s="4">
        <f t="shared" ref="D19:F19" si="4">D11</f>
        <v>0</v>
      </c>
      <c r="E19" s="4">
        <f t="shared" si="4"/>
        <v>0</v>
      </c>
      <c r="F19" s="4">
        <f t="shared" si="4"/>
        <v>0</v>
      </c>
      <c r="S19" s="65">
        <v>1.3</v>
      </c>
      <c r="T19" s="59"/>
      <c r="U19" s="59">
        <f t="shared" ref="U19:U22" si="5">T19*T7</f>
        <v>0</v>
      </c>
    </row>
    <row r="20" customHeight="1" spans="1:21">
      <c r="A20" s="54"/>
      <c r="B20" s="4" t="s">
        <v>18</v>
      </c>
      <c r="C20" s="4">
        <f t="shared" ref="C20:F20" si="6">C12</f>
        <v>0</v>
      </c>
      <c r="D20" s="4">
        <f t="shared" si="6"/>
        <v>0</v>
      </c>
      <c r="E20" s="4">
        <f t="shared" si="6"/>
        <v>0</v>
      </c>
      <c r="F20" s="4">
        <f t="shared" si="6"/>
        <v>0</v>
      </c>
      <c r="S20" s="65">
        <v>1.4</v>
      </c>
      <c r="T20" s="59"/>
      <c r="U20" s="59">
        <f t="shared" si="5"/>
        <v>0</v>
      </c>
    </row>
    <row r="21" customHeight="1" spans="1:21">
      <c r="A21" s="54"/>
      <c r="B21" s="4" t="s">
        <v>23</v>
      </c>
      <c r="C21" s="4">
        <f t="shared" ref="C21:F21" si="7">C13</f>
        <v>0</v>
      </c>
      <c r="D21" s="4">
        <f t="shared" si="7"/>
        <v>0</v>
      </c>
      <c r="E21" s="4">
        <f t="shared" si="7"/>
        <v>0</v>
      </c>
      <c r="F21" s="4">
        <f t="shared" si="7"/>
        <v>0</v>
      </c>
      <c r="S21" s="65">
        <v>2.1</v>
      </c>
      <c r="T21" s="59"/>
      <c r="U21" s="59">
        <f t="shared" si="5"/>
        <v>0</v>
      </c>
    </row>
    <row r="22" customHeight="1" spans="1:21">
      <c r="A22" s="54"/>
      <c r="B22" s="4" t="s">
        <v>69</v>
      </c>
      <c r="C22" s="4"/>
      <c r="D22" s="4"/>
      <c r="E22" s="4"/>
      <c r="F22" s="4"/>
      <c r="S22" s="65">
        <v>2.2</v>
      </c>
      <c r="T22" s="59"/>
      <c r="U22" s="59">
        <f t="shared" si="5"/>
        <v>0</v>
      </c>
    </row>
    <row r="23" customHeight="1" spans="1:6">
      <c r="A23" s="54"/>
      <c r="B23" s="48" t="s">
        <v>12</v>
      </c>
      <c r="C23" s="48">
        <f t="shared" ref="C23:F23" si="8">C14-C15-C16-C17-C18+C19+C20+C21</f>
        <v>5300000</v>
      </c>
      <c r="D23" s="48">
        <f t="shared" si="8"/>
        <v>5200000</v>
      </c>
      <c r="E23" s="48">
        <f t="shared" si="8"/>
        <v>5100000</v>
      </c>
      <c r="F23" s="48">
        <f t="shared" si="8"/>
        <v>5000000</v>
      </c>
    </row>
    <row r="24" customHeight="1" spans="1:21">
      <c r="A24" s="45" t="s">
        <v>70</v>
      </c>
      <c r="B24" s="55" t="s">
        <v>15</v>
      </c>
      <c r="C24" s="55"/>
      <c r="D24" s="55"/>
      <c r="E24" s="55"/>
      <c r="F24" s="55"/>
      <c r="S24" s="65" t="s">
        <v>59</v>
      </c>
      <c r="T24" s="65" t="s">
        <v>29</v>
      </c>
      <c r="U24" s="65" t="s">
        <v>35</v>
      </c>
    </row>
    <row r="25" customHeight="1" spans="1:21">
      <c r="A25" s="47"/>
      <c r="B25" s="4" t="s">
        <v>88</v>
      </c>
      <c r="C25" s="4"/>
      <c r="D25" s="4"/>
      <c r="E25" s="4"/>
      <c r="F25" s="4"/>
      <c r="S25" s="65">
        <v>1.4</v>
      </c>
      <c r="T25" s="59"/>
      <c r="U25" s="59">
        <f t="shared" ref="U25:U28" si="9">T25*T7</f>
        <v>0</v>
      </c>
    </row>
    <row r="26" customHeight="1" spans="1:21">
      <c r="A26" s="47"/>
      <c r="B26" s="4" t="s">
        <v>89</v>
      </c>
      <c r="C26" s="4"/>
      <c r="D26" s="4"/>
      <c r="E26" s="4"/>
      <c r="F26" s="4"/>
      <c r="S26" s="65">
        <v>2.1</v>
      </c>
      <c r="T26" s="59"/>
      <c r="U26" s="59">
        <f t="shared" si="9"/>
        <v>0</v>
      </c>
    </row>
    <row r="27" customHeight="1" spans="1:21">
      <c r="A27" s="47"/>
      <c r="B27" s="4" t="s">
        <v>72</v>
      </c>
      <c r="C27" s="4"/>
      <c r="D27" s="4"/>
      <c r="E27" s="4"/>
      <c r="F27" s="4"/>
      <c r="S27" s="65">
        <v>2.2</v>
      </c>
      <c r="T27" s="59"/>
      <c r="U27" s="59">
        <f t="shared" si="9"/>
        <v>0</v>
      </c>
    </row>
    <row r="28" customHeight="1" spans="1:21">
      <c r="A28" s="47"/>
      <c r="B28" s="4" t="s">
        <v>66</v>
      </c>
      <c r="C28" s="4"/>
      <c r="D28" s="4"/>
      <c r="E28" s="4"/>
      <c r="F28" s="4"/>
      <c r="S28" s="65">
        <v>2.3</v>
      </c>
      <c r="T28" s="59"/>
      <c r="U28" s="59">
        <f t="shared" si="9"/>
        <v>0</v>
      </c>
    </row>
    <row r="29" customHeight="1" spans="1:21">
      <c r="A29" s="49"/>
      <c r="B29" s="48" t="s">
        <v>73</v>
      </c>
      <c r="C29" s="48">
        <f t="shared" ref="C29:F29" si="10">SUM(C24:C28)</f>
        <v>0</v>
      </c>
      <c r="D29" s="48">
        <f t="shared" si="10"/>
        <v>0</v>
      </c>
      <c r="E29" s="48">
        <f t="shared" si="10"/>
        <v>0</v>
      </c>
      <c r="F29" s="48">
        <f t="shared" si="10"/>
        <v>0</v>
      </c>
      <c r="S29" s="53"/>
      <c r="T29" s="53"/>
      <c r="U29" s="53"/>
    </row>
    <row r="30" customHeight="1" spans="1:21">
      <c r="A30" s="56" t="s">
        <v>74</v>
      </c>
      <c r="B30" s="4" t="s">
        <v>75</v>
      </c>
      <c r="C30" s="4"/>
      <c r="D30" s="4"/>
      <c r="E30" s="4"/>
      <c r="F30" s="4"/>
      <c r="S30" s="65" t="s">
        <v>59</v>
      </c>
      <c r="T30" s="65" t="s">
        <v>29</v>
      </c>
      <c r="U30" s="65" t="s">
        <v>35</v>
      </c>
    </row>
    <row r="31" customHeight="1" spans="1:21">
      <c r="A31" s="57"/>
      <c r="B31" s="4" t="s">
        <v>25</v>
      </c>
      <c r="C31" s="4"/>
      <c r="D31" s="4"/>
      <c r="E31" s="4"/>
      <c r="F31" s="4"/>
      <c r="S31" s="65">
        <v>2.1</v>
      </c>
      <c r="T31" s="59"/>
      <c r="U31" s="59">
        <f t="shared" ref="U31:U34" si="11">T31*T7</f>
        <v>0</v>
      </c>
    </row>
    <row r="32" customHeight="1" spans="1:21">
      <c r="A32" s="57"/>
      <c r="B32" s="4" t="s">
        <v>76</v>
      </c>
      <c r="C32" s="4"/>
      <c r="D32" s="4"/>
      <c r="E32" s="4"/>
      <c r="F32" s="4"/>
      <c r="S32" s="65">
        <v>2.2</v>
      </c>
      <c r="T32" s="59"/>
      <c r="U32" s="59">
        <f t="shared" si="11"/>
        <v>0</v>
      </c>
    </row>
    <row r="33" customHeight="1" spans="1:21">
      <c r="A33" s="57"/>
      <c r="B33" s="52" t="s">
        <v>77</v>
      </c>
      <c r="C33" s="52"/>
      <c r="D33" s="52"/>
      <c r="E33" s="52"/>
      <c r="F33" s="52"/>
      <c r="S33" s="65">
        <v>2.3</v>
      </c>
      <c r="T33" s="59"/>
      <c r="U33" s="59">
        <f t="shared" si="11"/>
        <v>0</v>
      </c>
    </row>
    <row r="34" customHeight="1" spans="1:21">
      <c r="A34" s="57"/>
      <c r="B34" s="4" t="s">
        <v>78</v>
      </c>
      <c r="C34" s="4"/>
      <c r="D34" s="4"/>
      <c r="E34" s="4"/>
      <c r="F34" s="4"/>
      <c r="S34" s="65">
        <v>2.4</v>
      </c>
      <c r="T34" s="59"/>
      <c r="U34" s="59">
        <f t="shared" si="11"/>
        <v>0</v>
      </c>
    </row>
    <row r="35" customHeight="1" spans="1:6">
      <c r="A35" s="57"/>
      <c r="B35" s="4" t="s">
        <v>48</v>
      </c>
      <c r="C35" s="4"/>
      <c r="D35" s="4"/>
      <c r="E35" s="4"/>
      <c r="F35" s="4"/>
    </row>
    <row r="36" customHeight="1" spans="1:6">
      <c r="A36" s="57"/>
      <c r="B36" s="4" t="s">
        <v>79</v>
      </c>
      <c r="C36" s="4"/>
      <c r="D36" s="4"/>
      <c r="E36" s="4"/>
      <c r="F36" s="4"/>
    </row>
    <row r="37" customHeight="1" spans="1:6">
      <c r="A37" s="57"/>
      <c r="B37" s="4" t="s">
        <v>80</v>
      </c>
      <c r="C37" s="4"/>
      <c r="D37" s="4"/>
      <c r="E37" s="4"/>
      <c r="F37" s="4"/>
    </row>
    <row r="38" customHeight="1" spans="1:6">
      <c r="A38" s="57"/>
      <c r="B38" s="4" t="s">
        <v>66</v>
      </c>
      <c r="C38" s="4"/>
      <c r="D38" s="4"/>
      <c r="E38" s="4"/>
      <c r="F38" s="4"/>
    </row>
    <row r="39" customHeight="1" spans="1:6">
      <c r="A39" s="58"/>
      <c r="B39" s="48" t="s">
        <v>73</v>
      </c>
      <c r="C39" s="48">
        <f t="shared" ref="C39:F39" si="12">SUM(C30:C38)-C37-C36</f>
        <v>0</v>
      </c>
      <c r="D39" s="48">
        <f t="shared" si="12"/>
        <v>0</v>
      </c>
      <c r="E39" s="48">
        <f t="shared" si="12"/>
        <v>0</v>
      </c>
      <c r="F39" s="48">
        <f t="shared" si="12"/>
        <v>0</v>
      </c>
    </row>
    <row r="40" customHeight="1" spans="1:6">
      <c r="A40" s="56" t="s">
        <v>81</v>
      </c>
      <c r="B40" s="4" t="s">
        <v>82</v>
      </c>
      <c r="C40" s="4"/>
      <c r="D40" s="4"/>
      <c r="E40" s="4"/>
      <c r="F40" s="4"/>
    </row>
    <row r="41" customHeight="1" spans="1:6">
      <c r="A41" s="57"/>
      <c r="B41" s="4" t="s">
        <v>83</v>
      </c>
      <c r="C41" s="4"/>
      <c r="D41" s="4"/>
      <c r="E41" s="4"/>
      <c r="F41" s="4"/>
    </row>
    <row r="42" customHeight="1" spans="1:6">
      <c r="A42" s="57"/>
      <c r="B42" s="55" t="s">
        <v>84</v>
      </c>
      <c r="C42" s="55"/>
      <c r="D42" s="55"/>
      <c r="E42" s="55"/>
      <c r="F42" s="55"/>
    </row>
    <row r="43" customHeight="1" spans="1:6">
      <c r="A43" s="57"/>
      <c r="B43" s="4" t="s">
        <v>85</v>
      </c>
      <c r="C43" s="4"/>
      <c r="D43" s="4"/>
      <c r="E43" s="4"/>
      <c r="F43" s="4"/>
    </row>
    <row r="44" customHeight="1" spans="1:6">
      <c r="A44" s="57"/>
      <c r="B44" s="4" t="s">
        <v>66</v>
      </c>
      <c r="C44" s="4"/>
      <c r="D44" s="4"/>
      <c r="E44" s="4"/>
      <c r="F44" s="4"/>
    </row>
    <row r="45" customHeight="1" spans="1:6">
      <c r="A45" s="58"/>
      <c r="B45" s="48" t="s">
        <v>73</v>
      </c>
      <c r="C45" s="48">
        <f t="shared" ref="C45:F45" si="13">SUM(C40:C44)-C43</f>
        <v>0</v>
      </c>
      <c r="D45" s="48">
        <f t="shared" si="13"/>
        <v>0</v>
      </c>
      <c r="E45" s="48">
        <f t="shared" si="13"/>
        <v>0</v>
      </c>
      <c r="F45" s="48">
        <f t="shared" si="13"/>
        <v>0</v>
      </c>
    </row>
    <row r="46" customHeight="1" spans="1:6">
      <c r="A46" s="57" t="s">
        <v>86</v>
      </c>
      <c r="B46" s="59" t="s">
        <v>37</v>
      </c>
      <c r="C46" s="59"/>
      <c r="D46" s="59"/>
      <c r="E46" s="59"/>
      <c r="F46" s="59"/>
    </row>
    <row r="47" customHeight="1" spans="1:6">
      <c r="A47" s="57"/>
      <c r="B47" s="4" t="s">
        <v>87</v>
      </c>
      <c r="C47" s="4">
        <f t="shared" ref="C47:F47" si="14">C45+C39+C29+C23</f>
        <v>5300000</v>
      </c>
      <c r="D47" s="4">
        <f t="shared" si="14"/>
        <v>5200000</v>
      </c>
      <c r="E47" s="4">
        <f t="shared" si="14"/>
        <v>5100000</v>
      </c>
      <c r="F47" s="4">
        <f t="shared" si="14"/>
        <v>5000000</v>
      </c>
    </row>
    <row r="48" customHeight="1" spans="1:7">
      <c r="A48" s="58"/>
      <c r="B48" s="48" t="s">
        <v>12</v>
      </c>
      <c r="C48" s="48">
        <f t="shared" ref="C48:F48" si="15">C23-C29-C30-C31-C32-C33-C34-C35+C36+C37-C38-C40-C41-C42-C43-C44</f>
        <v>5300000</v>
      </c>
      <c r="D48" s="48">
        <f t="shared" si="15"/>
        <v>5200000</v>
      </c>
      <c r="E48" s="48">
        <f t="shared" si="15"/>
        <v>5100000</v>
      </c>
      <c r="F48" s="48">
        <f t="shared" si="15"/>
        <v>5000000</v>
      </c>
      <c r="G48" s="60">
        <f>F48-L12</f>
        <v>5100000</v>
      </c>
    </row>
  </sheetData>
  <mergeCells count="12">
    <mergeCell ref="H1:I1"/>
    <mergeCell ref="K1:L1"/>
    <mergeCell ref="N1:Q1"/>
    <mergeCell ref="S1:T1"/>
    <mergeCell ref="S6:T6"/>
    <mergeCell ref="A2:A4"/>
    <mergeCell ref="A5:A23"/>
    <mergeCell ref="A24:A29"/>
    <mergeCell ref="A30:A39"/>
    <mergeCell ref="A40:A45"/>
    <mergeCell ref="A46:A48"/>
    <mergeCell ref="G1:G4"/>
  </mergeCells>
  <conditionalFormatting sqref="C3:F3 O2 C48:F48">
    <cfRule type="cellIs" dxfId="0" priority="1" operator="lessThan">
      <formula>0</formula>
    </cfRule>
  </conditionalFormatting>
  <conditionalFormatting sqref="C3:F3 C48:F48">
    <cfRule type="cellIs" dxfId="1" priority="2" operator="less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workbookViewId="0">
      <selection activeCell="L11" sqref="L11"/>
    </sheetView>
  </sheetViews>
  <sheetFormatPr defaultColWidth="10.5" defaultRowHeight="14.1" customHeight="1"/>
  <cols>
    <col min="1" max="1" width="8.5" style="1" customWidth="1"/>
    <col min="2" max="9" width="10.5" style="1" customWidth="1"/>
    <col min="10" max="10" width="8.25454545454545" style="1" customWidth="1"/>
    <col min="11" max="12" width="10.5" style="1" customWidth="1"/>
    <col min="13" max="13" width="6.87272727272727" style="1" customWidth="1"/>
    <col min="14" max="17" width="10.5" style="1" customWidth="1"/>
    <col min="18" max="18" width="6.5" style="1" customWidth="1"/>
    <col min="19" max="19" width="7.12727272727273" style="1" customWidth="1"/>
    <col min="20" max="20" width="10" style="1" customWidth="1"/>
    <col min="21" max="21" width="9.87272727272727" style="1" customWidth="1"/>
    <col min="22" max="22" width="10.5" style="1" customWidth="1"/>
    <col min="23" max="16384" width="10.5" style="1"/>
  </cols>
  <sheetData>
    <row r="1" customHeight="1" spans="1:20">
      <c r="A1" s="42">
        <f>第一年!A1</f>
        <v>6000000</v>
      </c>
      <c r="B1" s="42"/>
      <c r="C1" s="42" t="s">
        <v>0</v>
      </c>
      <c r="D1" s="42" t="s">
        <v>1</v>
      </c>
      <c r="E1" s="42" t="s">
        <v>2</v>
      </c>
      <c r="F1" s="42" t="s">
        <v>3</v>
      </c>
      <c r="G1" s="43">
        <f>第三年!Q10*3-Q2-Q3</f>
        <v>15300000</v>
      </c>
      <c r="H1" s="44" t="s">
        <v>4</v>
      </c>
      <c r="I1" s="44"/>
      <c r="K1" s="61" t="s">
        <v>5</v>
      </c>
      <c r="L1" s="62"/>
      <c r="N1" s="61" t="s">
        <v>6</v>
      </c>
      <c r="O1" s="63"/>
      <c r="P1" s="63"/>
      <c r="Q1" s="62"/>
      <c r="S1" s="65" t="s">
        <v>7</v>
      </c>
      <c r="T1" s="65"/>
    </row>
    <row r="2" customHeight="1" spans="1:20">
      <c r="A2" s="45" t="s">
        <v>8</v>
      </c>
      <c r="B2" s="42" t="s">
        <v>9</v>
      </c>
      <c r="C2" s="42"/>
      <c r="D2" s="42"/>
      <c r="E2" s="42"/>
      <c r="F2" s="42"/>
      <c r="G2" s="43"/>
      <c r="H2" s="46" t="s">
        <v>10</v>
      </c>
      <c r="I2" s="64">
        <f>SUM(C15:F15)</f>
        <v>400000</v>
      </c>
      <c r="K2" s="46" t="s">
        <v>11</v>
      </c>
      <c r="L2" s="64"/>
      <c r="N2" s="46" t="s">
        <v>12</v>
      </c>
      <c r="O2" s="64">
        <f>F48</f>
        <v>4700000</v>
      </c>
      <c r="P2" s="46" t="s">
        <v>13</v>
      </c>
      <c r="Q2" s="64">
        <f>SUM(C8:F8,C19:F19)+第三年!Q2-C11-D11-E11-F11</f>
        <v>0</v>
      </c>
      <c r="S2" s="42" t="s">
        <v>13</v>
      </c>
      <c r="T2" s="59">
        <f>第一年!T2</f>
        <v>0.03</v>
      </c>
    </row>
    <row r="3" customHeight="1" spans="1:20">
      <c r="A3" s="47"/>
      <c r="B3" s="48" t="s">
        <v>14</v>
      </c>
      <c r="C3" s="48">
        <f>第三年!G48-C2</f>
        <v>5100000</v>
      </c>
      <c r="D3" s="48">
        <f>C48-D2</f>
        <v>5000000</v>
      </c>
      <c r="E3" s="48">
        <f>D48-E2</f>
        <v>4900000</v>
      </c>
      <c r="F3" s="48">
        <f>E48-F2</f>
        <v>4800000</v>
      </c>
      <c r="G3" s="43"/>
      <c r="H3" s="46" t="s">
        <v>15</v>
      </c>
      <c r="I3" s="64">
        <f>SUM(C24:F24)</f>
        <v>0</v>
      </c>
      <c r="K3" s="46" t="s">
        <v>16</v>
      </c>
      <c r="L3" s="64">
        <f>C32+C33+D32+D33+E32+E33+第三年!F32+第三年!F33+C40+D40+E40+F40</f>
        <v>0</v>
      </c>
      <c r="N3" s="46" t="s">
        <v>17</v>
      </c>
      <c r="O3" s="64">
        <f>SUM(G5:G8)</f>
        <v>0</v>
      </c>
      <c r="P3" s="46" t="s">
        <v>18</v>
      </c>
      <c r="Q3" s="64">
        <f>SUM(C9:F10,C20:F21)</f>
        <v>0</v>
      </c>
      <c r="S3" s="42" t="s">
        <v>18</v>
      </c>
      <c r="T3" s="59">
        <f>第一年!T3</f>
        <v>0.07</v>
      </c>
    </row>
    <row r="4" customHeight="1" spans="1:20">
      <c r="A4" s="49"/>
      <c r="B4" s="4" t="s">
        <v>19</v>
      </c>
      <c r="C4" s="4"/>
      <c r="D4" s="4"/>
      <c r="E4" s="4"/>
      <c r="F4" s="4"/>
      <c r="G4" s="50"/>
      <c r="H4" s="46" t="s">
        <v>9</v>
      </c>
      <c r="I4" s="64">
        <f>SUM(C2:F2)</f>
        <v>0</v>
      </c>
      <c r="K4" s="46" t="s">
        <v>20</v>
      </c>
      <c r="L4" s="64">
        <f>L2-L3</f>
        <v>0</v>
      </c>
      <c r="N4" s="46" t="s">
        <v>21</v>
      </c>
      <c r="O4" s="64"/>
      <c r="P4" s="46" t="s">
        <v>22</v>
      </c>
      <c r="Q4" s="64">
        <f>F40</f>
        <v>0</v>
      </c>
      <c r="S4" s="42" t="s">
        <v>23</v>
      </c>
      <c r="T4" s="59">
        <f>第一年!T4</f>
        <v>0.04</v>
      </c>
    </row>
    <row r="5" customHeight="1" spans="1:17">
      <c r="A5" s="51" t="s">
        <v>24</v>
      </c>
      <c r="B5" s="52" t="s">
        <v>17</v>
      </c>
      <c r="C5" s="52"/>
      <c r="D5" s="52"/>
      <c r="E5" s="52"/>
      <c r="F5" s="52"/>
      <c r="G5" s="53"/>
      <c r="H5" s="46" t="s">
        <v>25</v>
      </c>
      <c r="I5" s="64">
        <f>SUM(C31:F31)</f>
        <v>0</v>
      </c>
      <c r="K5" s="46" t="s">
        <v>26</v>
      </c>
      <c r="L5" s="64">
        <f>I17</f>
        <v>400000</v>
      </c>
      <c r="N5" s="46" t="s">
        <v>27</v>
      </c>
      <c r="O5" s="64"/>
      <c r="P5" s="46" t="s">
        <v>28</v>
      </c>
      <c r="Q5" s="64">
        <f>L12</f>
        <v>-100000</v>
      </c>
    </row>
    <row r="6" customHeight="1" spans="1:20">
      <c r="A6" s="54"/>
      <c r="B6" s="4" t="s">
        <v>29</v>
      </c>
      <c r="C6" s="4">
        <f>SUM(T13:T16)</f>
        <v>0</v>
      </c>
      <c r="D6" s="4">
        <f>SUM(T19:T22)</f>
        <v>0</v>
      </c>
      <c r="E6" s="4">
        <f>SUM(T25:T28)</f>
        <v>0</v>
      </c>
      <c r="F6" s="4">
        <f>SUM(T31:T34)</f>
        <v>0</v>
      </c>
      <c r="H6" s="46" t="s">
        <v>30</v>
      </c>
      <c r="I6" s="64">
        <f t="shared" ref="I6:I8" si="0">SUM(C25:F25)</f>
        <v>0</v>
      </c>
      <c r="K6" s="46" t="s">
        <v>31</v>
      </c>
      <c r="L6" s="64">
        <f>L4-L5</f>
        <v>-400000</v>
      </c>
      <c r="N6" s="46" t="s">
        <v>32</v>
      </c>
      <c r="O6" s="64"/>
      <c r="P6" s="46" t="s">
        <v>33</v>
      </c>
      <c r="Q6" s="64">
        <f>SUM(Q2:Q5)</f>
        <v>-100000</v>
      </c>
      <c r="S6" s="65" t="s">
        <v>34</v>
      </c>
      <c r="T6" s="65"/>
    </row>
    <row r="7" customHeight="1" spans="1:20">
      <c r="A7" s="54"/>
      <c r="B7" s="4" t="s">
        <v>35</v>
      </c>
      <c r="C7" s="4">
        <f>SUM(U13:U16)</f>
        <v>0</v>
      </c>
      <c r="D7" s="4">
        <f>SUM(U19:U22)</f>
        <v>0</v>
      </c>
      <c r="E7" s="4">
        <f>SUM(U25:U28)</f>
        <v>0</v>
      </c>
      <c r="F7" s="4">
        <f>SUM(U31:U34)</f>
        <v>0</v>
      </c>
      <c r="H7" s="46" t="s">
        <v>36</v>
      </c>
      <c r="I7" s="64">
        <f t="shared" si="0"/>
        <v>0</v>
      </c>
      <c r="K7" s="46" t="s">
        <v>37</v>
      </c>
      <c r="L7" s="64">
        <f>SUM(C46:F46)</f>
        <v>0</v>
      </c>
      <c r="N7" s="46" t="s">
        <v>38</v>
      </c>
      <c r="O7" s="64">
        <f>SUM(O2:O6)</f>
        <v>4700000</v>
      </c>
      <c r="P7" s="46" t="s">
        <v>39</v>
      </c>
      <c r="Q7" s="64">
        <f>第一年!A1</f>
        <v>6000000</v>
      </c>
      <c r="S7" s="42" t="s">
        <v>0</v>
      </c>
      <c r="T7" s="59">
        <f>第一年!T7</f>
        <v>0.02</v>
      </c>
    </row>
    <row r="8" customHeight="1" spans="1:20">
      <c r="A8" s="54"/>
      <c r="B8" s="55" t="s">
        <v>13</v>
      </c>
      <c r="C8" s="55"/>
      <c r="D8" s="55"/>
      <c r="E8" s="55"/>
      <c r="F8" s="55"/>
      <c r="H8" s="46" t="s">
        <v>40</v>
      </c>
      <c r="I8" s="64">
        <f t="shared" si="0"/>
        <v>0</v>
      </c>
      <c r="K8" s="46" t="s">
        <v>41</v>
      </c>
      <c r="L8" s="64">
        <f>L6-L7</f>
        <v>-400000</v>
      </c>
      <c r="N8" s="46" t="s">
        <v>42</v>
      </c>
      <c r="O8" s="64"/>
      <c r="P8" s="46" t="s">
        <v>43</v>
      </c>
      <c r="Q8" s="64">
        <f>第三年!Q10-第三年!Q7</f>
        <v>-900000</v>
      </c>
      <c r="S8" s="42" t="s">
        <v>1</v>
      </c>
      <c r="T8" s="59">
        <f>第一年!T8</f>
        <v>0.04</v>
      </c>
    </row>
    <row r="9" customHeight="1" spans="1:20">
      <c r="A9" s="54"/>
      <c r="B9" s="55" t="s">
        <v>18</v>
      </c>
      <c r="C9" s="55"/>
      <c r="D9" s="55"/>
      <c r="E9" s="55"/>
      <c r="F9" s="55"/>
      <c r="H9" s="46" t="s">
        <v>44</v>
      </c>
      <c r="I9" s="64"/>
      <c r="K9" s="46" t="s">
        <v>45</v>
      </c>
      <c r="L9" s="64">
        <f>SUM(C16:F18,C7:F7)</f>
        <v>0</v>
      </c>
      <c r="N9" s="46" t="s">
        <v>46</v>
      </c>
      <c r="O9" s="64"/>
      <c r="P9" s="46" t="s">
        <v>47</v>
      </c>
      <c r="Q9" s="64">
        <f>L13</f>
        <v>-300000</v>
      </c>
      <c r="S9" s="42" t="s">
        <v>2</v>
      </c>
      <c r="T9" s="59">
        <f>第一年!T9</f>
        <v>0.07</v>
      </c>
    </row>
    <row r="10" customHeight="1" spans="1:20">
      <c r="A10" s="54"/>
      <c r="B10" s="55" t="s">
        <v>23</v>
      </c>
      <c r="C10" s="55"/>
      <c r="D10" s="55"/>
      <c r="E10" s="55"/>
      <c r="F10" s="55"/>
      <c r="H10" s="46" t="s">
        <v>48</v>
      </c>
      <c r="I10" s="64">
        <f>SUM(C35:F35)</f>
        <v>0</v>
      </c>
      <c r="K10" s="46" t="s">
        <v>49</v>
      </c>
      <c r="L10" s="64"/>
      <c r="N10" s="46" t="s">
        <v>50</v>
      </c>
      <c r="O10" s="64">
        <f>SUM(O8:O9)</f>
        <v>0</v>
      </c>
      <c r="P10" s="46" t="s">
        <v>51</v>
      </c>
      <c r="Q10" s="64">
        <f>SUM(Q7:Q9)</f>
        <v>4800000</v>
      </c>
      <c r="S10" s="42" t="s">
        <v>3</v>
      </c>
      <c r="T10" s="59">
        <f>第一年!T10</f>
        <v>0.09</v>
      </c>
    </row>
    <row r="11" customHeight="1" spans="1:17">
      <c r="A11" s="54"/>
      <c r="B11" s="4" t="s">
        <v>52</v>
      </c>
      <c r="C11" s="4">
        <f>第二年!C8+第二年!C19</f>
        <v>0</v>
      </c>
      <c r="D11" s="4">
        <f>第二年!D8+第二年!D19</f>
        <v>0</v>
      </c>
      <c r="E11" s="4">
        <f>第二年!E8+第二年!E19</f>
        <v>0</v>
      </c>
      <c r="F11" s="4">
        <f>第二年!F8+第二年!F19</f>
        <v>0</v>
      </c>
      <c r="H11" s="46" t="s">
        <v>53</v>
      </c>
      <c r="I11" s="64"/>
      <c r="K11" s="46" t="s">
        <v>54</v>
      </c>
      <c r="L11" s="64">
        <f>L8-L9-L10</f>
        <v>-400000</v>
      </c>
      <c r="N11" s="46" t="s">
        <v>55</v>
      </c>
      <c r="O11" s="64">
        <f>O10+O7</f>
        <v>4700000</v>
      </c>
      <c r="P11" s="46" t="s">
        <v>55</v>
      </c>
      <c r="Q11" s="64">
        <f>Q10+Q6</f>
        <v>4700000</v>
      </c>
    </row>
    <row r="12" customHeight="1" spans="1:21">
      <c r="A12" s="54"/>
      <c r="B12" s="4" t="s">
        <v>56</v>
      </c>
      <c r="C12" s="4">
        <f>第三年!C9+第三年!C20</f>
        <v>0</v>
      </c>
      <c r="D12" s="4">
        <f>第三年!D9+第三年!D20</f>
        <v>0</v>
      </c>
      <c r="E12" s="4">
        <f>第三年!E9+第三年!E20</f>
        <v>0</v>
      </c>
      <c r="F12" s="4">
        <f>第三年!F9+第三年!F20</f>
        <v>0</v>
      </c>
      <c r="H12" s="46" t="s">
        <v>57</v>
      </c>
      <c r="I12" s="64">
        <f>SUM(C42:F42)</f>
        <v>0</v>
      </c>
      <c r="K12" s="46" t="s">
        <v>58</v>
      </c>
      <c r="L12" s="64">
        <f>L11*0.25</f>
        <v>-100000</v>
      </c>
      <c r="S12" s="65" t="s">
        <v>59</v>
      </c>
      <c r="T12" s="65" t="s">
        <v>29</v>
      </c>
      <c r="U12" s="65" t="s">
        <v>35</v>
      </c>
    </row>
    <row r="13" customHeight="1" spans="1:21">
      <c r="A13" s="54"/>
      <c r="B13" s="4" t="s">
        <v>60</v>
      </c>
      <c r="C13" s="4">
        <f>第三年!F10+第三年!F21</f>
        <v>0</v>
      </c>
      <c r="D13" s="4">
        <f>C10+C21</f>
        <v>0</v>
      </c>
      <c r="E13" s="4">
        <f>D10+D21</f>
        <v>0</v>
      </c>
      <c r="F13" s="4">
        <f>E10+E21</f>
        <v>0</v>
      </c>
      <c r="H13" s="46" t="s">
        <v>61</v>
      </c>
      <c r="I13" s="64"/>
      <c r="K13" s="46" t="s">
        <v>62</v>
      </c>
      <c r="L13" s="64">
        <f>L11-L12</f>
        <v>-300000</v>
      </c>
      <c r="S13" s="65">
        <v>1.2</v>
      </c>
      <c r="T13" s="59"/>
      <c r="U13" s="59">
        <f t="shared" ref="U13:U16" si="1">T13*T7</f>
        <v>0</v>
      </c>
    </row>
    <row r="14" customHeight="1" spans="1:21">
      <c r="A14" s="54"/>
      <c r="B14" s="48" t="s">
        <v>12</v>
      </c>
      <c r="C14" s="48">
        <f t="shared" ref="C14:F14" si="2">C3+C4+C5+C6-C7+C8+C9+C10-C11-C12-C13</f>
        <v>5100000</v>
      </c>
      <c r="D14" s="48">
        <f t="shared" si="2"/>
        <v>5000000</v>
      </c>
      <c r="E14" s="48">
        <f t="shared" si="2"/>
        <v>4900000</v>
      </c>
      <c r="F14" s="48">
        <f t="shared" si="2"/>
        <v>4800000</v>
      </c>
      <c r="H14" s="46" t="s">
        <v>63</v>
      </c>
      <c r="I14" s="64"/>
      <c r="S14" s="65">
        <v>1.3</v>
      </c>
      <c r="T14" s="59"/>
      <c r="U14" s="59">
        <f t="shared" si="1"/>
        <v>0</v>
      </c>
    </row>
    <row r="15" customHeight="1" spans="1:21">
      <c r="A15" s="54"/>
      <c r="B15" s="4" t="s">
        <v>10</v>
      </c>
      <c r="C15" s="4">
        <f>第一年!C15</f>
        <v>100000</v>
      </c>
      <c r="D15" s="4">
        <f>C15</f>
        <v>100000</v>
      </c>
      <c r="E15" s="4">
        <f>C15</f>
        <v>100000</v>
      </c>
      <c r="F15" s="4">
        <f>C15</f>
        <v>100000</v>
      </c>
      <c r="H15" s="46" t="s">
        <v>64</v>
      </c>
      <c r="I15" s="64">
        <f>SUM(C34:F34)</f>
        <v>0</v>
      </c>
      <c r="S15" s="65">
        <v>1.4</v>
      </c>
      <c r="T15" s="59"/>
      <c r="U15" s="59">
        <f t="shared" si="1"/>
        <v>0</v>
      </c>
    </row>
    <row r="16" customHeight="1" spans="1:21">
      <c r="A16" s="54"/>
      <c r="B16" s="55" t="s">
        <v>65</v>
      </c>
      <c r="C16" s="55">
        <f>第三年!F16+第三年!F8*第三年!T2+第三年!F19*第三年!T2-C11*T2</f>
        <v>0</v>
      </c>
      <c r="D16" s="55">
        <f>C8*T2+C19*T2+C16-D11*T2</f>
        <v>0</v>
      </c>
      <c r="E16" s="55">
        <f>D16+D8*T2+D19*T2-D11*T2</f>
        <v>0</v>
      </c>
      <c r="F16" s="55">
        <f>E16+E8*T2+E19*T2-F11*T2</f>
        <v>0</v>
      </c>
      <c r="H16" s="46" t="s">
        <v>66</v>
      </c>
      <c r="I16" s="64">
        <f>SUM(C28:F28,C38:F38,C44:F44)</f>
        <v>0</v>
      </c>
      <c r="S16" s="65">
        <v>2.1</v>
      </c>
      <c r="T16" s="59"/>
      <c r="U16" s="59">
        <f t="shared" si="1"/>
        <v>0</v>
      </c>
    </row>
    <row r="17" customHeight="1" spans="1:9">
      <c r="A17" s="54"/>
      <c r="B17" s="55" t="s">
        <v>67</v>
      </c>
      <c r="C17" s="55">
        <f>C12*T3</f>
        <v>0</v>
      </c>
      <c r="D17" s="55">
        <f>D12*T3</f>
        <v>0</v>
      </c>
      <c r="E17" s="55">
        <f>E12*T3</f>
        <v>0</v>
      </c>
      <c r="F17" s="55">
        <f>F12*T3</f>
        <v>0</v>
      </c>
      <c r="H17" s="46" t="s">
        <v>55</v>
      </c>
      <c r="I17" s="64">
        <f>SUM(I2:I16)</f>
        <v>400000</v>
      </c>
    </row>
    <row r="18" customHeight="1" spans="1:21">
      <c r="A18" s="54"/>
      <c r="B18" s="55" t="s">
        <v>68</v>
      </c>
      <c r="C18" s="55">
        <f>C13*T4</f>
        <v>0</v>
      </c>
      <c r="D18" s="55">
        <f>D13*T4</f>
        <v>0</v>
      </c>
      <c r="E18" s="55">
        <f>E13*T4</f>
        <v>0</v>
      </c>
      <c r="F18" s="55">
        <f>F13*T4</f>
        <v>0</v>
      </c>
      <c r="S18" s="65" t="s">
        <v>59</v>
      </c>
      <c r="T18" s="65" t="s">
        <v>29</v>
      </c>
      <c r="U18" s="65" t="s">
        <v>35</v>
      </c>
    </row>
    <row r="19" customHeight="1" spans="1:21">
      <c r="A19" s="54"/>
      <c r="B19" s="4" t="s">
        <v>13</v>
      </c>
      <c r="C19" s="4">
        <f t="shared" ref="C19:F19" si="3">C11</f>
        <v>0</v>
      </c>
      <c r="D19" s="4">
        <f t="shared" si="3"/>
        <v>0</v>
      </c>
      <c r="E19" s="4">
        <f t="shared" si="3"/>
        <v>0</v>
      </c>
      <c r="F19" s="4">
        <f t="shared" si="3"/>
        <v>0</v>
      </c>
      <c r="S19" s="65">
        <v>1.3</v>
      </c>
      <c r="T19" s="59"/>
      <c r="U19" s="59">
        <f t="shared" ref="U19:U22" si="4">T19*T7</f>
        <v>0</v>
      </c>
    </row>
    <row r="20" customHeight="1" spans="1:21">
      <c r="A20" s="54"/>
      <c r="B20" s="4" t="s">
        <v>18</v>
      </c>
      <c r="C20" s="4">
        <f>C12</f>
        <v>0</v>
      </c>
      <c r="D20" s="4">
        <f t="shared" ref="D20:F20" si="5">D12</f>
        <v>0</v>
      </c>
      <c r="E20" s="4">
        <f t="shared" si="5"/>
        <v>0</v>
      </c>
      <c r="F20" s="4">
        <f t="shared" si="5"/>
        <v>0</v>
      </c>
      <c r="S20" s="65">
        <v>1.4</v>
      </c>
      <c r="T20" s="59"/>
      <c r="U20" s="59">
        <f t="shared" si="4"/>
        <v>0</v>
      </c>
    </row>
    <row r="21" customHeight="1" spans="1:21">
      <c r="A21" s="54"/>
      <c r="B21" s="4" t="s">
        <v>23</v>
      </c>
      <c r="C21" s="4">
        <f t="shared" ref="C21:F21" si="6">C13</f>
        <v>0</v>
      </c>
      <c r="D21" s="4">
        <f t="shared" si="6"/>
        <v>0</v>
      </c>
      <c r="E21" s="4">
        <f t="shared" si="6"/>
        <v>0</v>
      </c>
      <c r="F21" s="4">
        <f t="shared" si="6"/>
        <v>0</v>
      </c>
      <c r="S21" s="65">
        <v>2.1</v>
      </c>
      <c r="T21" s="59"/>
      <c r="U21" s="59">
        <f t="shared" si="4"/>
        <v>0</v>
      </c>
    </row>
    <row r="22" customHeight="1" spans="1:21">
      <c r="A22" s="54"/>
      <c r="B22" s="4" t="s">
        <v>69</v>
      </c>
      <c r="C22" s="4"/>
      <c r="D22" s="4"/>
      <c r="E22" s="4"/>
      <c r="F22" s="4"/>
      <c r="S22" s="65">
        <v>2.2</v>
      </c>
      <c r="T22" s="59"/>
      <c r="U22" s="59">
        <f t="shared" si="4"/>
        <v>0</v>
      </c>
    </row>
    <row r="23" customHeight="1" spans="1:6">
      <c r="A23" s="54"/>
      <c r="B23" s="48" t="s">
        <v>12</v>
      </c>
      <c r="C23" s="48">
        <f t="shared" ref="C23:F23" si="7">C14-C15-C16-C17-C18+C19+C20+C21</f>
        <v>5000000</v>
      </c>
      <c r="D23" s="48">
        <f t="shared" si="7"/>
        <v>4900000</v>
      </c>
      <c r="E23" s="48">
        <f t="shared" si="7"/>
        <v>4800000</v>
      </c>
      <c r="F23" s="48">
        <f t="shared" si="7"/>
        <v>4700000</v>
      </c>
    </row>
    <row r="24" customHeight="1" spans="1:21">
      <c r="A24" s="45" t="s">
        <v>70</v>
      </c>
      <c r="B24" s="55" t="s">
        <v>15</v>
      </c>
      <c r="C24" s="55"/>
      <c r="D24" s="55"/>
      <c r="E24" s="55"/>
      <c r="F24" s="55"/>
      <c r="S24" s="65" t="s">
        <v>59</v>
      </c>
      <c r="T24" s="65" t="s">
        <v>29</v>
      </c>
      <c r="U24" s="65" t="s">
        <v>35</v>
      </c>
    </row>
    <row r="25" customHeight="1" spans="1:21">
      <c r="A25" s="47"/>
      <c r="B25" s="4" t="s">
        <v>88</v>
      </c>
      <c r="C25" s="4"/>
      <c r="D25" s="4"/>
      <c r="E25" s="4"/>
      <c r="F25" s="4"/>
      <c r="S25" s="65">
        <v>1.4</v>
      </c>
      <c r="T25" s="59"/>
      <c r="U25" s="59">
        <f t="shared" ref="U25:U28" si="8">T25*T7</f>
        <v>0</v>
      </c>
    </row>
    <row r="26" customHeight="1" spans="1:21">
      <c r="A26" s="47"/>
      <c r="B26" s="4" t="s">
        <v>89</v>
      </c>
      <c r="C26" s="4"/>
      <c r="D26" s="4"/>
      <c r="E26" s="4"/>
      <c r="F26" s="4"/>
      <c r="S26" s="65">
        <v>2.1</v>
      </c>
      <c r="T26" s="59"/>
      <c r="U26" s="59">
        <f t="shared" si="8"/>
        <v>0</v>
      </c>
    </row>
    <row r="27" customHeight="1" spans="1:21">
      <c r="A27" s="47"/>
      <c r="B27" s="4" t="s">
        <v>72</v>
      </c>
      <c r="C27" s="4"/>
      <c r="D27" s="4"/>
      <c r="E27" s="4"/>
      <c r="F27" s="4"/>
      <c r="S27" s="65">
        <v>2.2</v>
      </c>
      <c r="T27" s="59"/>
      <c r="U27" s="59">
        <f t="shared" si="8"/>
        <v>0</v>
      </c>
    </row>
    <row r="28" customHeight="1" spans="1:21">
      <c r="A28" s="47"/>
      <c r="B28" s="4" t="s">
        <v>66</v>
      </c>
      <c r="C28" s="4"/>
      <c r="D28" s="4"/>
      <c r="E28" s="4"/>
      <c r="F28" s="4"/>
      <c r="S28" s="65">
        <v>2.3</v>
      </c>
      <c r="T28" s="59"/>
      <c r="U28" s="59">
        <f t="shared" si="8"/>
        <v>0</v>
      </c>
    </row>
    <row r="29" customHeight="1" spans="1:21">
      <c r="A29" s="49"/>
      <c r="B29" s="48" t="s">
        <v>73</v>
      </c>
      <c r="C29" s="48">
        <f t="shared" ref="C29:F29" si="9">SUM(C24:C28)</f>
        <v>0</v>
      </c>
      <c r="D29" s="48">
        <f t="shared" si="9"/>
        <v>0</v>
      </c>
      <c r="E29" s="48">
        <f t="shared" si="9"/>
        <v>0</v>
      </c>
      <c r="F29" s="48">
        <f t="shared" si="9"/>
        <v>0</v>
      </c>
      <c r="S29" s="53"/>
      <c r="T29" s="53"/>
      <c r="U29" s="53"/>
    </row>
    <row r="30" customHeight="1" spans="1:21">
      <c r="A30" s="56" t="s">
        <v>74</v>
      </c>
      <c r="B30" s="4" t="s">
        <v>75</v>
      </c>
      <c r="C30" s="4"/>
      <c r="D30" s="4"/>
      <c r="E30" s="4"/>
      <c r="F30" s="4"/>
      <c r="S30" s="65" t="s">
        <v>59</v>
      </c>
      <c r="T30" s="65" t="s">
        <v>29</v>
      </c>
      <c r="U30" s="65" t="s">
        <v>35</v>
      </c>
    </row>
    <row r="31" customHeight="1" spans="1:21">
      <c r="A31" s="57"/>
      <c r="B31" s="4" t="s">
        <v>25</v>
      </c>
      <c r="C31" s="4"/>
      <c r="D31" s="4"/>
      <c r="E31" s="4"/>
      <c r="F31" s="4"/>
      <c r="S31" s="65">
        <v>2.1</v>
      </c>
      <c r="T31" s="59"/>
      <c r="U31" s="59">
        <f t="shared" ref="U31:U34" si="10">T31*T7</f>
        <v>0</v>
      </c>
    </row>
    <row r="32" customHeight="1" spans="1:21">
      <c r="A32" s="57"/>
      <c r="B32" s="4" t="s">
        <v>76</v>
      </c>
      <c r="C32" s="4"/>
      <c r="D32" s="4"/>
      <c r="E32" s="4"/>
      <c r="F32" s="4"/>
      <c r="S32" s="65">
        <v>2.2</v>
      </c>
      <c r="T32" s="59"/>
      <c r="U32" s="59">
        <f t="shared" si="10"/>
        <v>0</v>
      </c>
    </row>
    <row r="33" customHeight="1" spans="1:21">
      <c r="A33" s="57"/>
      <c r="B33" s="52" t="s">
        <v>77</v>
      </c>
      <c r="C33" s="52"/>
      <c r="D33" s="52"/>
      <c r="E33" s="52"/>
      <c r="F33" s="52"/>
      <c r="S33" s="65">
        <v>2.3</v>
      </c>
      <c r="T33" s="59"/>
      <c r="U33" s="59">
        <f t="shared" si="10"/>
        <v>0</v>
      </c>
    </row>
    <row r="34" customHeight="1" spans="1:21">
      <c r="A34" s="57"/>
      <c r="B34" s="4" t="s">
        <v>78</v>
      </c>
      <c r="C34" s="4"/>
      <c r="D34" s="4"/>
      <c r="E34" s="4"/>
      <c r="F34" s="4"/>
      <c r="S34" s="65">
        <v>2.4</v>
      </c>
      <c r="T34" s="59"/>
      <c r="U34" s="59">
        <f t="shared" si="10"/>
        <v>0</v>
      </c>
    </row>
    <row r="35" customHeight="1" spans="1:6">
      <c r="A35" s="57"/>
      <c r="B35" s="4" t="s">
        <v>48</v>
      </c>
      <c r="C35" s="4"/>
      <c r="D35" s="4"/>
      <c r="E35" s="4"/>
      <c r="F35" s="4"/>
    </row>
    <row r="36" customHeight="1" spans="1:6">
      <c r="A36" s="57"/>
      <c r="B36" s="4" t="s">
        <v>79</v>
      </c>
      <c r="C36" s="4"/>
      <c r="D36" s="4"/>
      <c r="E36" s="4"/>
      <c r="F36" s="4"/>
    </row>
    <row r="37" customHeight="1" spans="1:6">
      <c r="A37" s="57"/>
      <c r="B37" s="4" t="s">
        <v>80</v>
      </c>
      <c r="C37" s="4"/>
      <c r="D37" s="4"/>
      <c r="E37" s="4"/>
      <c r="F37" s="4"/>
    </row>
    <row r="38" customHeight="1" spans="1:6">
      <c r="A38" s="57"/>
      <c r="B38" s="4" t="s">
        <v>66</v>
      </c>
      <c r="C38" s="4"/>
      <c r="D38" s="4"/>
      <c r="E38" s="4"/>
      <c r="F38" s="4"/>
    </row>
    <row r="39" customHeight="1" spans="1:6">
      <c r="A39" s="58"/>
      <c r="B39" s="48" t="s">
        <v>73</v>
      </c>
      <c r="C39" s="48">
        <f t="shared" ref="C39:F39" si="11">SUM(C30:C38)-C37-C36</f>
        <v>0</v>
      </c>
      <c r="D39" s="48">
        <f t="shared" si="11"/>
        <v>0</v>
      </c>
      <c r="E39" s="48">
        <f t="shared" si="11"/>
        <v>0</v>
      </c>
      <c r="F39" s="48">
        <f t="shared" si="11"/>
        <v>0</v>
      </c>
    </row>
    <row r="40" customHeight="1" spans="1:6">
      <c r="A40" s="56" t="s">
        <v>81</v>
      </c>
      <c r="B40" s="4" t="s">
        <v>82</v>
      </c>
      <c r="C40" s="4"/>
      <c r="D40" s="4"/>
      <c r="E40" s="4"/>
      <c r="F40" s="4"/>
    </row>
    <row r="41" customHeight="1" spans="1:6">
      <c r="A41" s="57"/>
      <c r="B41" s="4" t="s">
        <v>83</v>
      </c>
      <c r="C41" s="4"/>
      <c r="D41" s="4"/>
      <c r="E41" s="4"/>
      <c r="F41" s="4"/>
    </row>
    <row r="42" customHeight="1" spans="1:6">
      <c r="A42" s="57"/>
      <c r="B42" s="55" t="s">
        <v>84</v>
      </c>
      <c r="C42" s="55"/>
      <c r="D42" s="55"/>
      <c r="E42" s="55"/>
      <c r="F42" s="55"/>
    </row>
    <row r="43" customHeight="1" spans="1:6">
      <c r="A43" s="57"/>
      <c r="B43" s="4" t="s">
        <v>85</v>
      </c>
      <c r="C43" s="4"/>
      <c r="D43" s="4"/>
      <c r="E43" s="4"/>
      <c r="F43" s="4"/>
    </row>
    <row r="44" customHeight="1" spans="1:6">
      <c r="A44" s="57"/>
      <c r="B44" s="4" t="s">
        <v>66</v>
      </c>
      <c r="C44" s="4"/>
      <c r="D44" s="4"/>
      <c r="E44" s="4"/>
      <c r="F44" s="4"/>
    </row>
    <row r="45" customHeight="1" spans="1:6">
      <c r="A45" s="58"/>
      <c r="B45" s="48" t="s">
        <v>73</v>
      </c>
      <c r="C45" s="48">
        <f t="shared" ref="C45:F45" si="12">SUM(C40:C44)-C43</f>
        <v>0</v>
      </c>
      <c r="D45" s="48">
        <f t="shared" si="12"/>
        <v>0</v>
      </c>
      <c r="E45" s="48">
        <f t="shared" si="12"/>
        <v>0</v>
      </c>
      <c r="F45" s="48">
        <f t="shared" si="12"/>
        <v>0</v>
      </c>
    </row>
    <row r="46" customHeight="1" spans="1:6">
      <c r="A46" s="57" t="s">
        <v>86</v>
      </c>
      <c r="B46" s="59" t="s">
        <v>37</v>
      </c>
      <c r="C46" s="59"/>
      <c r="D46" s="59"/>
      <c r="E46" s="59"/>
      <c r="F46" s="59"/>
    </row>
    <row r="47" customHeight="1" spans="1:6">
      <c r="A47" s="57"/>
      <c r="B47" s="4" t="s">
        <v>87</v>
      </c>
      <c r="C47" s="4">
        <f t="shared" ref="C47:F47" si="13">C45+C39+C29+C23</f>
        <v>5000000</v>
      </c>
      <c r="D47" s="4">
        <f t="shared" si="13"/>
        <v>4900000</v>
      </c>
      <c r="E47" s="4">
        <f t="shared" si="13"/>
        <v>4800000</v>
      </c>
      <c r="F47" s="4">
        <f t="shared" si="13"/>
        <v>4700000</v>
      </c>
    </row>
    <row r="48" customHeight="1" spans="1:7">
      <c r="A48" s="58"/>
      <c r="B48" s="48" t="s">
        <v>12</v>
      </c>
      <c r="C48" s="48">
        <f t="shared" ref="C48:F48" si="14">C23-C29-C30-C31-C32-C33-C34-C35+C36+C37-C38-C40-C41-C42-C43-C44</f>
        <v>5000000</v>
      </c>
      <c r="D48" s="48">
        <f t="shared" si="14"/>
        <v>4900000</v>
      </c>
      <c r="E48" s="48">
        <f t="shared" si="14"/>
        <v>4800000</v>
      </c>
      <c r="F48" s="48">
        <f t="shared" si="14"/>
        <v>4700000</v>
      </c>
      <c r="G48" s="60">
        <f>F48-L12</f>
        <v>4800000</v>
      </c>
    </row>
  </sheetData>
  <mergeCells count="12">
    <mergeCell ref="H1:I1"/>
    <mergeCell ref="K1:L1"/>
    <mergeCell ref="N1:Q1"/>
    <mergeCell ref="S1:T1"/>
    <mergeCell ref="S6:T6"/>
    <mergeCell ref="A2:A4"/>
    <mergeCell ref="A5:A23"/>
    <mergeCell ref="A24:A29"/>
    <mergeCell ref="A30:A39"/>
    <mergeCell ref="A40:A45"/>
    <mergeCell ref="A46:A48"/>
    <mergeCell ref="G1:G4"/>
  </mergeCells>
  <conditionalFormatting sqref="C3:F3 O2 C48:F48">
    <cfRule type="cellIs" dxfId="0" priority="1" operator="lessThan">
      <formula>0</formula>
    </cfRule>
  </conditionalFormatting>
  <conditionalFormatting sqref="C3:F3 C48:F48">
    <cfRule type="cellIs" dxfId="1" priority="2" operator="less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5"/>
  <sheetViews>
    <sheetView workbookViewId="0">
      <selection activeCell="R11" sqref="R11"/>
    </sheetView>
  </sheetViews>
  <sheetFormatPr defaultColWidth="6" defaultRowHeight="14"/>
  <cols>
    <col min="1" max="7" width="6" style="1"/>
    <col min="8" max="12" width="6.54545454545455" style="1" customWidth="1"/>
    <col min="13" max="13" width="6.95454545454545" style="1" customWidth="1"/>
    <col min="14" max="14" width="6.81818181818182" style="1" customWidth="1"/>
    <col min="15" max="19" width="6" style="1"/>
    <col min="20" max="20" width="7.09090909090909" style="1" customWidth="1"/>
    <col min="21" max="24" width="6.18181818181818" style="1" customWidth="1"/>
    <col min="25" max="25" width="7.09090909090909" style="1" customWidth="1"/>
    <col min="26" max="26" width="6" style="1"/>
    <col min="27" max="28" width="7.09090909090909" style="1" customWidth="1"/>
    <col min="29" max="33" width="6" style="1"/>
    <col min="34" max="34" width="7.09090909090909" style="1" customWidth="1"/>
    <col min="35" max="35" width="8.18181818181818" style="1" customWidth="1"/>
    <col min="36" max="16384" width="6" style="1"/>
  </cols>
  <sheetData>
    <row r="1" s="1" customFormat="1" spans="3:8">
      <c r="C1" s="1" t="s">
        <v>90</v>
      </c>
      <c r="D1" s="1">
        <v>25</v>
      </c>
      <c r="E1" s="1">
        <v>25</v>
      </c>
      <c r="F1" s="1">
        <v>25</v>
      </c>
      <c r="G1" s="1">
        <v>25</v>
      </c>
      <c r="H1" s="1">
        <v>25</v>
      </c>
    </row>
    <row r="2" s="1" customFormat="1" spans="2:8"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16</v>
      </c>
    </row>
    <row r="3" s="1" customFormat="1" spans="2:8">
      <c r="B3" s="1" t="s">
        <v>97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1">
        <f>C3*$D$1+D3*$E$1+$F$1*E3+$G$1*F3+$H$1*G3</f>
        <v>100</v>
      </c>
    </row>
    <row r="4" s="1" customFormat="1" spans="2:8">
      <c r="B4" s="1" t="s">
        <v>98</v>
      </c>
      <c r="C4" s="1">
        <v>2</v>
      </c>
      <c r="D4" s="1">
        <v>2</v>
      </c>
      <c r="E4" s="1">
        <v>2</v>
      </c>
      <c r="F4" s="1">
        <v>2</v>
      </c>
      <c r="G4" s="1">
        <v>0</v>
      </c>
      <c r="H4" s="1">
        <f>C4*$D$1+D4*$E$1+$F$1*E4+$G$1*F4+$H$1*G4</f>
        <v>200</v>
      </c>
    </row>
    <row r="5" s="1" customFormat="1" spans="2:8">
      <c r="B5" s="1" t="s">
        <v>99</v>
      </c>
      <c r="C5" s="1">
        <v>4</v>
      </c>
      <c r="D5" s="1">
        <v>4</v>
      </c>
      <c r="E5" s="1">
        <v>4</v>
      </c>
      <c r="F5" s="1">
        <v>4</v>
      </c>
      <c r="G5" s="1">
        <v>0</v>
      </c>
      <c r="H5" s="1">
        <f>C5*$D$1+D5*$E$1+$F$1*E5+$G$1*F5+$H$1*G5</f>
        <v>400</v>
      </c>
    </row>
    <row r="6" s="1" customFormat="1" spans="2:8">
      <c r="B6" s="1" t="s">
        <v>100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f>C6*$D$1+D6*$E$1+$F$1*E6+$G$1*F6+$H$1*G6</f>
        <v>0</v>
      </c>
    </row>
    <row r="8" s="1" customFormat="1" spans="2:29">
      <c r="B8" s="3" t="s">
        <v>92</v>
      </c>
      <c r="C8" s="3" t="s">
        <v>93</v>
      </c>
      <c r="D8" s="3" t="s">
        <v>94</v>
      </c>
      <c r="E8" s="3" t="s">
        <v>95</v>
      </c>
      <c r="F8" s="3" t="s">
        <v>96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N8" s="3" t="s">
        <v>101</v>
      </c>
      <c r="P8" s="21" t="s">
        <v>97</v>
      </c>
      <c r="Q8" s="21" t="s">
        <v>98</v>
      </c>
      <c r="R8" s="21" t="s">
        <v>99</v>
      </c>
      <c r="S8" s="21" t="s">
        <v>100</v>
      </c>
      <c r="U8" s="4" t="s">
        <v>102</v>
      </c>
      <c r="V8" s="4" t="s">
        <v>103</v>
      </c>
      <c r="W8" s="4" t="s">
        <v>104</v>
      </c>
      <c r="X8" s="4" t="s">
        <v>105</v>
      </c>
      <c r="Z8" s="4" t="s">
        <v>102</v>
      </c>
      <c r="AA8" s="4" t="s">
        <v>103</v>
      </c>
      <c r="AB8" s="4" t="s">
        <v>104</v>
      </c>
      <c r="AC8" s="4" t="s">
        <v>105</v>
      </c>
    </row>
    <row r="9" s="1" customFormat="1" spans="1:29">
      <c r="A9" s="1" t="s">
        <v>106</v>
      </c>
      <c r="B9" s="4"/>
      <c r="C9" s="4"/>
      <c r="D9" s="4"/>
      <c r="E9" s="4"/>
      <c r="F9" s="4"/>
      <c r="H9" s="4"/>
      <c r="I9" s="4"/>
      <c r="J9" s="4"/>
      <c r="K9" s="4"/>
      <c r="L9" s="4"/>
      <c r="N9" s="4"/>
      <c r="P9" s="4"/>
      <c r="Q9" s="4"/>
      <c r="R9" s="4"/>
      <c r="S9" s="4"/>
      <c r="U9" s="4"/>
      <c r="V9" s="4"/>
      <c r="W9" s="4"/>
      <c r="X9" s="4"/>
      <c r="Z9" s="4"/>
      <c r="AA9" s="4"/>
      <c r="AB9" s="4"/>
      <c r="AC9" s="4"/>
    </row>
    <row r="10" s="1" customFormat="1" spans="1:29">
      <c r="A10" s="1" t="s">
        <v>107</v>
      </c>
      <c r="B10" s="4"/>
      <c r="C10" s="4"/>
      <c r="D10" s="4"/>
      <c r="E10" s="4"/>
      <c r="F10" s="4"/>
      <c r="H10" s="4">
        <f t="shared" ref="H10:H24" si="0">B9+H9-P10-Q10-Q10-R10-R10-R10-R10</f>
        <v>0</v>
      </c>
      <c r="I10" s="4">
        <f t="shared" ref="I10:I24" si="1">C9+I9-P10-Q10-Q10-R10-R10-R10-R10</f>
        <v>0</v>
      </c>
      <c r="J10" s="4">
        <f t="shared" ref="J10:J24" si="2">D9+J9-P10-Q10-Q10-R10-R10-R10-R10</f>
        <v>0</v>
      </c>
      <c r="K10" s="4">
        <f t="shared" ref="K10:K24" si="3">E9+K9-P10-Q10-Q10-R10-R10-R10-R10</f>
        <v>0</v>
      </c>
      <c r="L10" s="4"/>
      <c r="N10" s="4">
        <f>(B9*$D$1+C9*$E$1+D9*$F$1+E9*$G$1+F9*$H$1)</f>
        <v>0</v>
      </c>
      <c r="P10" s="4"/>
      <c r="Q10" s="4"/>
      <c r="R10" s="4"/>
      <c r="S10" s="4"/>
      <c r="U10" s="4">
        <f t="shared" ref="U10:X10" si="4">P9+U9-Z10</f>
        <v>0</v>
      </c>
      <c r="V10" s="4">
        <f t="shared" si="4"/>
        <v>0</v>
      </c>
      <c r="W10" s="4">
        <f t="shared" si="4"/>
        <v>0</v>
      </c>
      <c r="X10" s="4">
        <f t="shared" si="4"/>
        <v>0</v>
      </c>
      <c r="Z10" s="4"/>
      <c r="AA10" s="4"/>
      <c r="AB10" s="4"/>
      <c r="AC10" s="4"/>
    </row>
    <row r="11" s="1" customFormat="1" spans="1:29">
      <c r="A11" s="1" t="s">
        <v>108</v>
      </c>
      <c r="B11" s="4"/>
      <c r="C11" s="4"/>
      <c r="D11" s="4"/>
      <c r="E11" s="4"/>
      <c r="F11" s="4"/>
      <c r="H11" s="4">
        <f t="shared" si="0"/>
        <v>0</v>
      </c>
      <c r="I11" s="4">
        <f t="shared" si="1"/>
        <v>0</v>
      </c>
      <c r="J11" s="4">
        <f t="shared" si="2"/>
        <v>0</v>
      </c>
      <c r="K11" s="4">
        <f t="shared" si="3"/>
        <v>0</v>
      </c>
      <c r="L11" s="4"/>
      <c r="N11" s="4">
        <f>(B10*$D$1+C10*$E$1+D10*$F$1+E9*$G$1+F9*$H$1)</f>
        <v>0</v>
      </c>
      <c r="P11" s="4"/>
      <c r="Q11" s="4"/>
      <c r="R11" s="4"/>
      <c r="S11" s="4"/>
      <c r="U11" s="4">
        <f t="shared" ref="U11:X11" si="5">P10+U10-Z11</f>
        <v>0</v>
      </c>
      <c r="V11" s="4">
        <f t="shared" si="5"/>
        <v>0</v>
      </c>
      <c r="W11" s="4">
        <f t="shared" si="5"/>
        <v>0</v>
      </c>
      <c r="X11" s="4">
        <f t="shared" si="5"/>
        <v>0</v>
      </c>
      <c r="Z11" s="4"/>
      <c r="AA11" s="4"/>
      <c r="AB11" s="4"/>
      <c r="AC11" s="4"/>
    </row>
    <row r="12" s="1" customFormat="1" spans="1:29">
      <c r="A12" s="1" t="s">
        <v>109</v>
      </c>
      <c r="B12" s="4"/>
      <c r="C12" s="4"/>
      <c r="D12" s="4"/>
      <c r="E12" s="4"/>
      <c r="F12" s="4"/>
      <c r="H12" s="4">
        <f t="shared" si="0"/>
        <v>0</v>
      </c>
      <c r="I12" s="4">
        <f t="shared" si="1"/>
        <v>0</v>
      </c>
      <c r="J12" s="4">
        <f t="shared" si="2"/>
        <v>0</v>
      </c>
      <c r="K12" s="4">
        <f t="shared" si="3"/>
        <v>0</v>
      </c>
      <c r="L12" s="4"/>
      <c r="N12" s="4">
        <f>(B11*$D$1+C11*$E$1+D11*$F$1+E10*$G$1+F10*$H$1)</f>
        <v>0</v>
      </c>
      <c r="P12" s="4"/>
      <c r="Q12" s="4"/>
      <c r="R12" s="4"/>
      <c r="S12" s="4"/>
      <c r="U12" s="4">
        <f t="shared" ref="U12:X12" si="6">P11+U11-Z12</f>
        <v>0</v>
      </c>
      <c r="V12" s="4">
        <f t="shared" si="6"/>
        <v>0</v>
      </c>
      <c r="W12" s="4">
        <f t="shared" si="6"/>
        <v>0</v>
      </c>
      <c r="X12" s="4">
        <f t="shared" si="6"/>
        <v>0</v>
      </c>
      <c r="Z12" s="4"/>
      <c r="AA12" s="4"/>
      <c r="AB12" s="4"/>
      <c r="AC12" s="4"/>
    </row>
    <row r="13" s="2" customFormat="1" spans="1:29">
      <c r="A13" s="2" t="s">
        <v>110</v>
      </c>
      <c r="B13" s="5"/>
      <c r="C13" s="5"/>
      <c r="D13" s="5"/>
      <c r="E13" s="5"/>
      <c r="F13" s="5"/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/>
      <c r="N13" s="5">
        <f>(B12*$D$1+C12*$E$1+D12*$F$1+E11*$G$1+F11*$H$1)</f>
        <v>0</v>
      </c>
      <c r="P13" s="5"/>
      <c r="Q13" s="5"/>
      <c r="R13" s="5"/>
      <c r="S13" s="5"/>
      <c r="U13" s="5">
        <f t="shared" ref="U13:X13" si="7">P12+U12-Z13</f>
        <v>0</v>
      </c>
      <c r="V13" s="5">
        <f t="shared" si="7"/>
        <v>0</v>
      </c>
      <c r="W13" s="5">
        <f t="shared" si="7"/>
        <v>0</v>
      </c>
      <c r="X13" s="5">
        <f t="shared" si="7"/>
        <v>0</v>
      </c>
      <c r="Z13" s="5"/>
      <c r="AA13" s="5"/>
      <c r="AB13" s="5"/>
      <c r="AC13" s="5"/>
    </row>
    <row r="14" s="2" customFormat="1" spans="1:29">
      <c r="A14" s="2" t="s">
        <v>111</v>
      </c>
      <c r="B14" s="5"/>
      <c r="C14" s="5"/>
      <c r="D14" s="5"/>
      <c r="E14" s="5"/>
      <c r="F14" s="5"/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/>
      <c r="N14" s="5">
        <f>(B13*$D$1+C13*$E$1+D13*$F$1+E12*$G$1+F12*$H$1)</f>
        <v>0</v>
      </c>
      <c r="P14" s="5"/>
      <c r="Q14" s="5"/>
      <c r="R14" s="5"/>
      <c r="S14" s="5"/>
      <c r="U14" s="5">
        <f t="shared" ref="U14:X14" si="8">P13+U13-Z14</f>
        <v>0</v>
      </c>
      <c r="V14" s="5">
        <f t="shared" si="8"/>
        <v>0</v>
      </c>
      <c r="W14" s="5">
        <f t="shared" si="8"/>
        <v>0</v>
      </c>
      <c r="X14" s="5">
        <f t="shared" si="8"/>
        <v>0</v>
      </c>
      <c r="Z14" s="5"/>
      <c r="AA14" s="5"/>
      <c r="AB14" s="5"/>
      <c r="AC14" s="5"/>
    </row>
    <row r="15" s="2" customFormat="1" spans="1:29">
      <c r="A15" s="2" t="s">
        <v>112</v>
      </c>
      <c r="B15" s="5"/>
      <c r="C15" s="5"/>
      <c r="D15" s="5"/>
      <c r="E15" s="5"/>
      <c r="F15" s="5"/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/>
      <c r="N15" s="5">
        <f>(B14*$D$1+C14*$E$1+D14*$F$1+E13*$G$1+F13*$H$1)</f>
        <v>0</v>
      </c>
      <c r="P15" s="5"/>
      <c r="Q15" s="5"/>
      <c r="R15" s="5"/>
      <c r="S15" s="5"/>
      <c r="U15" s="5">
        <f t="shared" ref="U15:X15" si="9">P14+U14-Z15</f>
        <v>0</v>
      </c>
      <c r="V15" s="5">
        <f t="shared" si="9"/>
        <v>0</v>
      </c>
      <c r="W15" s="5">
        <f t="shared" si="9"/>
        <v>0</v>
      </c>
      <c r="X15" s="5">
        <f t="shared" si="9"/>
        <v>0</v>
      </c>
      <c r="Z15" s="5"/>
      <c r="AA15" s="5"/>
      <c r="AB15" s="5"/>
      <c r="AC15" s="5"/>
    </row>
    <row r="16" s="2" customFormat="1" spans="1:29">
      <c r="A16" s="2" t="s">
        <v>113</v>
      </c>
      <c r="B16" s="5"/>
      <c r="C16" s="5"/>
      <c r="D16" s="5"/>
      <c r="E16" s="5"/>
      <c r="F16" s="5"/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0</v>
      </c>
      <c r="L16" s="5"/>
      <c r="N16" s="5">
        <f>(B15*$D$1+C15*$E$1+D15*$F$1+E14*$G$1+F14*$H$1)</f>
        <v>0</v>
      </c>
      <c r="P16" s="5"/>
      <c r="Q16" s="5"/>
      <c r="R16" s="5"/>
      <c r="S16" s="5"/>
      <c r="U16" s="5">
        <f t="shared" ref="U16:X16" si="10">P15+U15-Z16</f>
        <v>0</v>
      </c>
      <c r="V16" s="5">
        <f t="shared" si="10"/>
        <v>0</v>
      </c>
      <c r="W16" s="5">
        <f t="shared" si="10"/>
        <v>0</v>
      </c>
      <c r="X16" s="5">
        <f t="shared" si="10"/>
        <v>0</v>
      </c>
      <c r="Z16" s="5"/>
      <c r="AA16" s="5"/>
      <c r="AB16" s="5"/>
      <c r="AC16" s="5"/>
    </row>
    <row r="17" s="1" customFormat="1" spans="1:29">
      <c r="A17" s="1" t="s">
        <v>114</v>
      </c>
      <c r="B17" s="4"/>
      <c r="C17" s="4"/>
      <c r="D17" s="4"/>
      <c r="E17" s="4"/>
      <c r="F17" s="4"/>
      <c r="H17" s="4">
        <f t="shared" si="0"/>
        <v>0</v>
      </c>
      <c r="I17" s="4">
        <f t="shared" si="1"/>
        <v>0</v>
      </c>
      <c r="J17" s="4">
        <f t="shared" si="2"/>
        <v>0</v>
      </c>
      <c r="K17" s="4">
        <f t="shared" si="3"/>
        <v>0</v>
      </c>
      <c r="L17" s="4"/>
      <c r="N17" s="4">
        <f>(B16*$D$1+C16*$E$1+D16*$F$1+E15*$G$1+F15*$H$1)</f>
        <v>0</v>
      </c>
      <c r="P17" s="4"/>
      <c r="Q17" s="4"/>
      <c r="R17" s="4"/>
      <c r="S17" s="4"/>
      <c r="U17" s="4">
        <f t="shared" ref="U17:X17" si="11">P16+U16-Z17</f>
        <v>0</v>
      </c>
      <c r="V17" s="4">
        <f t="shared" si="11"/>
        <v>0</v>
      </c>
      <c r="W17" s="4">
        <f t="shared" si="11"/>
        <v>0</v>
      </c>
      <c r="X17" s="4">
        <f t="shared" si="11"/>
        <v>0</v>
      </c>
      <c r="Z17" s="4"/>
      <c r="AA17" s="4"/>
      <c r="AB17" s="4"/>
      <c r="AC17" s="4"/>
    </row>
    <row r="18" s="1" customFormat="1" spans="1:29">
      <c r="A18" s="1" t="s">
        <v>115</v>
      </c>
      <c r="B18" s="4"/>
      <c r="C18" s="4"/>
      <c r="D18" s="4"/>
      <c r="E18" s="4"/>
      <c r="F18" s="4"/>
      <c r="H18" s="4">
        <f t="shared" si="0"/>
        <v>0</v>
      </c>
      <c r="I18" s="4">
        <f t="shared" si="1"/>
        <v>0</v>
      </c>
      <c r="J18" s="4">
        <f t="shared" si="2"/>
        <v>0</v>
      </c>
      <c r="K18" s="4">
        <f t="shared" si="3"/>
        <v>0</v>
      </c>
      <c r="L18" s="4"/>
      <c r="N18" s="4">
        <f>(B17*$D$1+C17*$E$1+D17*$F$1+E16*$G$1+F16*$H$1)</f>
        <v>0</v>
      </c>
      <c r="P18" s="4"/>
      <c r="Q18" s="4"/>
      <c r="R18" s="4"/>
      <c r="S18" s="4"/>
      <c r="U18" s="4">
        <f t="shared" ref="U18:X18" si="12">P17+U17-Z18</f>
        <v>0</v>
      </c>
      <c r="V18" s="4">
        <f t="shared" si="12"/>
        <v>0</v>
      </c>
      <c r="W18" s="4">
        <f t="shared" si="12"/>
        <v>0</v>
      </c>
      <c r="X18" s="4">
        <f t="shared" si="12"/>
        <v>0</v>
      </c>
      <c r="Z18" s="4"/>
      <c r="AA18" s="4"/>
      <c r="AB18" s="4"/>
      <c r="AC18" s="4"/>
    </row>
    <row r="19" s="1" customFormat="1" spans="1:29">
      <c r="A19" s="1" t="s">
        <v>116</v>
      </c>
      <c r="B19" s="4"/>
      <c r="C19" s="4"/>
      <c r="D19" s="4"/>
      <c r="E19" s="4"/>
      <c r="F19" s="4"/>
      <c r="H19" s="4">
        <f t="shared" si="0"/>
        <v>0</v>
      </c>
      <c r="I19" s="4">
        <f t="shared" si="1"/>
        <v>0</v>
      </c>
      <c r="J19" s="4">
        <f t="shared" si="2"/>
        <v>0</v>
      </c>
      <c r="K19" s="4">
        <f t="shared" si="3"/>
        <v>0</v>
      </c>
      <c r="L19" s="4"/>
      <c r="N19" s="4">
        <f>(B18*$D$1+C18*$E$1+D18*$F$1+E17*$G$1+F17*$H$1)</f>
        <v>0</v>
      </c>
      <c r="P19" s="4"/>
      <c r="Q19" s="4"/>
      <c r="R19" s="4"/>
      <c r="S19" s="4"/>
      <c r="U19" s="4">
        <f t="shared" ref="U19:X19" si="13">P18+U18-Z19</f>
        <v>0</v>
      </c>
      <c r="V19" s="4">
        <f t="shared" si="13"/>
        <v>0</v>
      </c>
      <c r="W19" s="4">
        <f t="shared" si="13"/>
        <v>0</v>
      </c>
      <c r="X19" s="4">
        <f t="shared" si="13"/>
        <v>0</v>
      </c>
      <c r="Z19" s="4"/>
      <c r="AA19" s="4"/>
      <c r="AB19" s="4"/>
      <c r="AC19" s="4"/>
    </row>
    <row r="20" s="1" customFormat="1" spans="1:29">
      <c r="A20" s="1" t="s">
        <v>117</v>
      </c>
      <c r="B20" s="4"/>
      <c r="C20" s="4"/>
      <c r="D20" s="4"/>
      <c r="E20" s="4"/>
      <c r="F20" s="4"/>
      <c r="H20" s="4">
        <f t="shared" si="0"/>
        <v>0</v>
      </c>
      <c r="I20" s="4">
        <f t="shared" si="1"/>
        <v>0</v>
      </c>
      <c r="J20" s="4">
        <f t="shared" si="2"/>
        <v>0</v>
      </c>
      <c r="K20" s="4">
        <f t="shared" si="3"/>
        <v>0</v>
      </c>
      <c r="L20" s="4"/>
      <c r="N20" s="4">
        <f>(B19*$D$1+C19*$E$1+D19*$F$1+E18*$G$1+F18*$H$1)</f>
        <v>0</v>
      </c>
      <c r="P20" s="4"/>
      <c r="Q20" s="4"/>
      <c r="R20" s="4"/>
      <c r="S20" s="4"/>
      <c r="U20" s="4">
        <f t="shared" ref="U20:X20" si="14">P19+U19-Z20</f>
        <v>0</v>
      </c>
      <c r="V20" s="4">
        <f t="shared" si="14"/>
        <v>0</v>
      </c>
      <c r="W20" s="4">
        <f t="shared" si="14"/>
        <v>0</v>
      </c>
      <c r="X20" s="4">
        <f t="shared" si="14"/>
        <v>0</v>
      </c>
      <c r="Z20" s="4"/>
      <c r="AA20" s="4"/>
      <c r="AB20" s="4"/>
      <c r="AC20" s="4"/>
    </row>
    <row r="21" s="2" customFormat="1" spans="1:29">
      <c r="A21" s="2" t="s">
        <v>118</v>
      </c>
      <c r="B21" s="5"/>
      <c r="C21" s="5"/>
      <c r="D21" s="5"/>
      <c r="E21" s="5"/>
      <c r="F21" s="5"/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/>
      <c r="N21" s="5">
        <f>(B20*$D$1+C20*$E$1+D20*$F$1+E19*$G$1+F19*$H$1)</f>
        <v>0</v>
      </c>
      <c r="P21" s="5"/>
      <c r="Q21" s="5"/>
      <c r="R21" s="5"/>
      <c r="S21" s="5"/>
      <c r="U21" s="5">
        <f t="shared" ref="U21:X21" si="15">P20+U20-Z21</f>
        <v>0</v>
      </c>
      <c r="V21" s="5">
        <f t="shared" si="15"/>
        <v>0</v>
      </c>
      <c r="W21" s="5">
        <f t="shared" si="15"/>
        <v>0</v>
      </c>
      <c r="X21" s="5">
        <f t="shared" si="15"/>
        <v>0</v>
      </c>
      <c r="Z21" s="5"/>
      <c r="AA21" s="5"/>
      <c r="AB21" s="5"/>
      <c r="AC21" s="5"/>
    </row>
    <row r="22" s="2" customFormat="1" spans="1:29">
      <c r="A22" s="2" t="s">
        <v>119</v>
      </c>
      <c r="B22" s="5"/>
      <c r="C22" s="5"/>
      <c r="D22" s="5"/>
      <c r="E22" s="5"/>
      <c r="F22" s="5"/>
      <c r="H22" s="5">
        <f t="shared" si="0"/>
        <v>0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/>
      <c r="N22" s="5">
        <f>(B21*$D$1+C21*$E$1+D21*$F$1+E20*$G$1+F20*$H$1)</f>
        <v>0</v>
      </c>
      <c r="P22" s="5"/>
      <c r="Q22" s="5"/>
      <c r="R22" s="5"/>
      <c r="S22" s="5"/>
      <c r="U22" s="5">
        <f t="shared" ref="U22:X22" si="16">P21+U21-Z22</f>
        <v>0</v>
      </c>
      <c r="V22" s="5">
        <f t="shared" si="16"/>
        <v>0</v>
      </c>
      <c r="W22" s="5">
        <f t="shared" si="16"/>
        <v>0</v>
      </c>
      <c r="X22" s="5">
        <f t="shared" si="16"/>
        <v>0</v>
      </c>
      <c r="Z22" s="5"/>
      <c r="AA22" s="5"/>
      <c r="AB22" s="5"/>
      <c r="AC22" s="5"/>
    </row>
    <row r="23" s="2" customFormat="1" spans="1:29">
      <c r="A23" s="2" t="s">
        <v>120</v>
      </c>
      <c r="B23" s="5"/>
      <c r="C23" s="5"/>
      <c r="D23" s="5"/>
      <c r="E23" s="5"/>
      <c r="F23" s="5"/>
      <c r="H23" s="5">
        <f t="shared" si="0"/>
        <v>0</v>
      </c>
      <c r="I23" s="5">
        <f t="shared" si="1"/>
        <v>0</v>
      </c>
      <c r="J23" s="5">
        <f t="shared" si="2"/>
        <v>0</v>
      </c>
      <c r="K23" s="5">
        <f t="shared" si="3"/>
        <v>0</v>
      </c>
      <c r="L23" s="5"/>
      <c r="N23" s="5">
        <f>(B22*$D$1+C22*$E$1+D22*$F$1+E21*$G$1+F21*$H$1)</f>
        <v>0</v>
      </c>
      <c r="P23" s="5"/>
      <c r="Q23" s="5"/>
      <c r="R23" s="5"/>
      <c r="S23" s="5"/>
      <c r="U23" s="5">
        <f t="shared" ref="U23:X23" si="17">P22+U22-Z23</f>
        <v>0</v>
      </c>
      <c r="V23" s="5">
        <f t="shared" si="17"/>
        <v>0</v>
      </c>
      <c r="W23" s="5">
        <f t="shared" si="17"/>
        <v>0</v>
      </c>
      <c r="X23" s="5">
        <f t="shared" si="17"/>
        <v>0</v>
      </c>
      <c r="Z23" s="5"/>
      <c r="AA23" s="5"/>
      <c r="AB23" s="5"/>
      <c r="AC23" s="5"/>
    </row>
    <row r="24" s="2" customFormat="1" spans="1:29">
      <c r="A24" s="2" t="s">
        <v>121</v>
      </c>
      <c r="B24" s="5"/>
      <c r="C24" s="5"/>
      <c r="D24" s="5"/>
      <c r="E24" s="5"/>
      <c r="F24" s="5"/>
      <c r="H24" s="5">
        <f t="shared" si="0"/>
        <v>0</v>
      </c>
      <c r="I24" s="5">
        <f t="shared" si="1"/>
        <v>0</v>
      </c>
      <c r="J24" s="5">
        <f t="shared" si="2"/>
        <v>0</v>
      </c>
      <c r="K24" s="5">
        <f t="shared" si="3"/>
        <v>0</v>
      </c>
      <c r="L24" s="5"/>
      <c r="N24" s="5">
        <f>(B23*$D$1+C23*$E$1+D23*$F$1+E22*$G$1+F22*$H$1)</f>
        <v>0</v>
      </c>
      <c r="P24" s="5"/>
      <c r="Q24" s="5"/>
      <c r="R24" s="5"/>
      <c r="S24" s="5"/>
      <c r="U24" s="5">
        <f t="shared" ref="U24:X24" si="18">P23+U23-Z24</f>
        <v>0</v>
      </c>
      <c r="V24" s="5">
        <f t="shared" si="18"/>
        <v>0</v>
      </c>
      <c r="W24" s="5">
        <f t="shared" si="18"/>
        <v>0</v>
      </c>
      <c r="X24" s="5">
        <f t="shared" si="18"/>
        <v>0</v>
      </c>
      <c r="Z24" s="5"/>
      <c r="AA24" s="5"/>
      <c r="AB24" s="5"/>
      <c r="AC24" s="5"/>
    </row>
    <row r="25" s="1" customFormat="1" ht="14.75" spans="6:27">
      <c r="F25" s="4"/>
      <c r="Q25" s="37"/>
      <c r="R25" s="38"/>
      <c r="S25" s="37"/>
      <c r="T25" s="37"/>
      <c r="U25" s="37"/>
      <c r="V25" s="37"/>
      <c r="W25" s="37"/>
      <c r="X25" s="37"/>
      <c r="Y25" s="37"/>
      <c r="Z25" s="37"/>
      <c r="AA25" s="37"/>
    </row>
    <row r="26" s="1" customFormat="1" ht="14.25" customHeight="1" spans="1:34">
      <c r="A26" s="6"/>
      <c r="B26" s="7" t="s">
        <v>122</v>
      </c>
      <c r="C26" s="8" t="s">
        <v>123</v>
      </c>
      <c r="D26" s="9" t="s">
        <v>124</v>
      </c>
      <c r="E26" s="10"/>
      <c r="F26" s="10"/>
      <c r="G26" s="10"/>
      <c r="H26" s="9" t="s">
        <v>125</v>
      </c>
      <c r="I26" s="10"/>
      <c r="J26" s="22" t="s">
        <v>126</v>
      </c>
      <c r="K26" s="23" t="s">
        <v>127</v>
      </c>
      <c r="L26" s="24"/>
      <c r="M26" s="24" t="s">
        <v>128</v>
      </c>
      <c r="N26" s="25" t="s">
        <v>129</v>
      </c>
      <c r="O26" s="26" t="s">
        <v>130</v>
      </c>
      <c r="P26" s="26">
        <v>15</v>
      </c>
      <c r="Q26" s="37"/>
      <c r="V26" s="37"/>
      <c r="W26" s="37"/>
      <c r="X26" s="37"/>
      <c r="Z26" s="37" t="s">
        <v>131</v>
      </c>
      <c r="AA26" s="37" t="s">
        <v>132</v>
      </c>
      <c r="AB26" s="37" t="s">
        <v>133</v>
      </c>
      <c r="AC26" s="37" t="s">
        <v>134</v>
      </c>
      <c r="AE26" s="37"/>
      <c r="AF26" s="37" t="s">
        <v>135</v>
      </c>
      <c r="AG26" s="37" t="s">
        <v>136</v>
      </c>
      <c r="AH26" s="37"/>
    </row>
    <row r="27" s="1" customFormat="1" ht="15" spans="1:34">
      <c r="A27" s="11"/>
      <c r="B27" s="12"/>
      <c r="C27" s="13"/>
      <c r="D27" s="14" t="s">
        <v>135</v>
      </c>
      <c r="E27" s="14" t="s">
        <v>135</v>
      </c>
      <c r="F27" s="14" t="s">
        <v>135</v>
      </c>
      <c r="G27" s="14"/>
      <c r="H27" s="14" t="s">
        <v>135</v>
      </c>
      <c r="I27" s="14" t="s">
        <v>135</v>
      </c>
      <c r="J27" s="27"/>
      <c r="K27" s="28"/>
      <c r="L27" s="29"/>
      <c r="M27" s="29"/>
      <c r="N27" s="30"/>
      <c r="Q27" s="37"/>
      <c r="R27" s="37" t="s">
        <v>137</v>
      </c>
      <c r="S27" s="1" t="s">
        <v>138</v>
      </c>
      <c r="V27" s="37"/>
      <c r="Z27" s="37" t="s">
        <v>139</v>
      </c>
      <c r="AA27" s="37"/>
      <c r="AB27" s="37"/>
      <c r="AC27" s="37"/>
      <c r="AE27" s="37"/>
      <c r="AF27" s="40">
        <v>0.5</v>
      </c>
      <c r="AG27" s="37">
        <f>(1-AF27)*ROUNDUP(100/$AH$27,0)*100</f>
        <v>6250</v>
      </c>
      <c r="AH27" s="41">
        <v>0.8</v>
      </c>
    </row>
    <row r="28" s="1" customFormat="1" spans="1:34">
      <c r="A28" s="15">
        <v>1</v>
      </c>
      <c r="B28" s="16"/>
      <c r="C28" s="17">
        <v>80</v>
      </c>
      <c r="D28" s="18">
        <v>0.5</v>
      </c>
      <c r="E28" s="18"/>
      <c r="F28" s="18"/>
      <c r="G28" s="18"/>
      <c r="H28" s="18">
        <v>1</v>
      </c>
      <c r="I28" s="18"/>
      <c r="J28" s="31">
        <v>8</v>
      </c>
      <c r="K28" s="32">
        <f t="shared" ref="K28:K43" si="19">IF(J28=8,1,1.2)</f>
        <v>1</v>
      </c>
      <c r="L28" s="33"/>
      <c r="M28" s="33">
        <f t="shared" ref="M28:M43" si="20">INT(C28*(1+(D28+E28+F28)/4+H28+I28))*K28</f>
        <v>170</v>
      </c>
      <c r="N28" s="34">
        <f t="shared" ref="N28:N43" si="21">M28*$P$26</f>
        <v>2550</v>
      </c>
      <c r="O28" s="2" t="s">
        <v>140</v>
      </c>
      <c r="P28" s="2">
        <v>15</v>
      </c>
      <c r="Q28" s="37"/>
      <c r="R28" s="37"/>
      <c r="S28" s="1">
        <v>2520</v>
      </c>
      <c r="V28" s="37"/>
      <c r="Z28" s="37">
        <f>2*R28</f>
        <v>0</v>
      </c>
      <c r="AA28" s="37">
        <f>3*R28</f>
        <v>0</v>
      </c>
      <c r="AB28" s="37">
        <f>4*R28</f>
        <v>0</v>
      </c>
      <c r="AC28" s="37">
        <f>4*R28</f>
        <v>0</v>
      </c>
      <c r="AE28" s="37"/>
      <c r="AF28" s="40">
        <v>0.9</v>
      </c>
      <c r="AG28" s="37">
        <f>(1-AF28)*ROUNDUP(100/$C$3,0)*100</f>
        <v>1000</v>
      </c>
      <c r="AH28" s="37"/>
    </row>
    <row r="29" s="1" customFormat="1" spans="1:34">
      <c r="A29" s="15">
        <v>2</v>
      </c>
      <c r="B29" s="16"/>
      <c r="C29" s="17">
        <v>80</v>
      </c>
      <c r="D29" s="18">
        <v>0.5</v>
      </c>
      <c r="E29" s="18"/>
      <c r="F29" s="18"/>
      <c r="G29" s="18"/>
      <c r="H29" s="18">
        <v>1</v>
      </c>
      <c r="I29" s="18"/>
      <c r="J29" s="31">
        <v>8</v>
      </c>
      <c r="K29" s="32">
        <f t="shared" si="19"/>
        <v>1</v>
      </c>
      <c r="L29" s="33"/>
      <c r="M29" s="33">
        <f t="shared" si="20"/>
        <v>170</v>
      </c>
      <c r="N29" s="34">
        <f t="shared" si="21"/>
        <v>2550</v>
      </c>
      <c r="Q29" s="37"/>
      <c r="V29" s="37"/>
      <c r="W29" s="37"/>
      <c r="X29" s="37"/>
      <c r="Z29" s="37">
        <v>9686</v>
      </c>
      <c r="AA29" s="37"/>
      <c r="AB29" s="37"/>
      <c r="AC29" s="37"/>
      <c r="AE29" s="37"/>
      <c r="AF29" s="38">
        <v>0.7</v>
      </c>
      <c r="AG29" s="37">
        <f>(1-AF29)*ROUNDUP(100/$C$3,0)*100</f>
        <v>3000</v>
      </c>
      <c r="AH29" s="37"/>
    </row>
    <row r="30" s="1" customFormat="1" spans="1:34">
      <c r="A30" s="15">
        <v>3</v>
      </c>
      <c r="B30" s="16"/>
      <c r="C30" s="17">
        <v>80</v>
      </c>
      <c r="D30" s="18">
        <v>0.5</v>
      </c>
      <c r="E30" s="18"/>
      <c r="F30" s="18"/>
      <c r="G30" s="18"/>
      <c r="H30" s="18">
        <v>1</v>
      </c>
      <c r="I30" s="18"/>
      <c r="J30" s="31">
        <v>8</v>
      </c>
      <c r="K30" s="32">
        <f t="shared" si="19"/>
        <v>1</v>
      </c>
      <c r="L30" s="33"/>
      <c r="M30" s="33">
        <f t="shared" si="20"/>
        <v>170</v>
      </c>
      <c r="N30" s="34">
        <f t="shared" si="21"/>
        <v>2550</v>
      </c>
      <c r="O30" s="35" t="s">
        <v>141</v>
      </c>
      <c r="P30" s="35">
        <v>10</v>
      </c>
      <c r="Q30" s="37"/>
      <c r="V30" s="37"/>
      <c r="W30" s="37"/>
      <c r="X30" s="37"/>
      <c r="Z30" s="37">
        <v>9352</v>
      </c>
      <c r="AA30" s="37"/>
      <c r="AB30" s="37"/>
      <c r="AC30" s="37"/>
      <c r="AE30" s="37"/>
      <c r="AF30" s="38"/>
      <c r="AG30" s="37">
        <f>(1-AF30)*ROUNDUP(100/$C$3,0)*100</f>
        <v>10000</v>
      </c>
      <c r="AH30" s="37"/>
    </row>
    <row r="31" s="1" customFormat="1" spans="1:28">
      <c r="A31" s="15">
        <v>4</v>
      </c>
      <c r="B31" s="16"/>
      <c r="C31" s="17">
        <v>80</v>
      </c>
      <c r="D31" s="18">
        <v>0.5</v>
      </c>
      <c r="E31" s="18"/>
      <c r="F31" s="18"/>
      <c r="G31" s="18"/>
      <c r="H31" s="18">
        <v>1</v>
      </c>
      <c r="I31" s="18"/>
      <c r="J31" s="31">
        <v>8</v>
      </c>
      <c r="K31" s="32">
        <f t="shared" si="19"/>
        <v>1</v>
      </c>
      <c r="L31" s="33"/>
      <c r="M31" s="33">
        <f t="shared" si="20"/>
        <v>170</v>
      </c>
      <c r="N31" s="34">
        <f t="shared" si="21"/>
        <v>2550</v>
      </c>
      <c r="Q31" s="37"/>
      <c r="V31" s="37"/>
      <c r="W31" s="37"/>
      <c r="X31" s="37"/>
      <c r="Y31" s="37"/>
      <c r="Z31" s="37"/>
      <c r="AA31" s="37"/>
      <c r="AB31" s="37"/>
    </row>
    <row r="32" s="1" customFormat="1" spans="1:28">
      <c r="A32" s="15">
        <v>5</v>
      </c>
      <c r="B32" s="16"/>
      <c r="C32" s="17">
        <v>80</v>
      </c>
      <c r="D32" s="18">
        <v>0.5</v>
      </c>
      <c r="E32" s="18"/>
      <c r="F32" s="18"/>
      <c r="G32" s="18"/>
      <c r="H32" s="18">
        <v>1</v>
      </c>
      <c r="I32" s="18"/>
      <c r="J32" s="31">
        <v>8</v>
      </c>
      <c r="K32" s="32">
        <f t="shared" si="19"/>
        <v>1</v>
      </c>
      <c r="L32" s="33"/>
      <c r="M32" s="33">
        <f t="shared" si="20"/>
        <v>170</v>
      </c>
      <c r="N32" s="34">
        <f t="shared" si="21"/>
        <v>2550</v>
      </c>
      <c r="Q32" s="37"/>
      <c r="R32" s="37"/>
      <c r="S32" s="38"/>
      <c r="T32" s="37"/>
      <c r="U32" s="37"/>
      <c r="V32" s="37"/>
      <c r="W32" s="37"/>
      <c r="X32" s="37"/>
      <c r="Y32" s="37"/>
      <c r="Z32" s="37"/>
      <c r="AA32" s="37"/>
      <c r="AB32" s="37"/>
    </row>
    <row r="33" s="1" customFormat="1" spans="1:28">
      <c r="A33" s="15">
        <v>6</v>
      </c>
      <c r="B33" s="16"/>
      <c r="C33" s="17">
        <v>80</v>
      </c>
      <c r="D33" s="18">
        <v>0.5</v>
      </c>
      <c r="E33" s="18"/>
      <c r="F33" s="18"/>
      <c r="G33" s="18"/>
      <c r="H33" s="18">
        <v>1</v>
      </c>
      <c r="I33" s="18"/>
      <c r="J33" s="31">
        <v>8</v>
      </c>
      <c r="K33" s="32">
        <f t="shared" si="19"/>
        <v>1</v>
      </c>
      <c r="L33" s="33"/>
      <c r="M33" s="33">
        <f t="shared" si="20"/>
        <v>170</v>
      </c>
      <c r="N33" s="34">
        <f t="shared" si="21"/>
        <v>2550</v>
      </c>
      <c r="Q33" s="39"/>
      <c r="R33" s="37"/>
      <c r="S33" s="38"/>
      <c r="T33" s="37"/>
      <c r="U33" s="37"/>
      <c r="V33" s="37"/>
      <c r="W33" s="37"/>
      <c r="X33" s="37"/>
      <c r="Y33" s="37"/>
      <c r="Z33" s="37"/>
      <c r="AA33" s="37"/>
      <c r="AB33" s="37"/>
    </row>
    <row r="34" s="1" customFormat="1" spans="1:28">
      <c r="A34" s="15">
        <v>7</v>
      </c>
      <c r="B34" s="16"/>
      <c r="C34" s="17">
        <v>80</v>
      </c>
      <c r="D34" s="18">
        <v>0.5</v>
      </c>
      <c r="E34" s="18"/>
      <c r="F34" s="18"/>
      <c r="G34" s="18"/>
      <c r="H34" s="18">
        <v>1</v>
      </c>
      <c r="I34" s="18"/>
      <c r="J34" s="31">
        <v>8</v>
      </c>
      <c r="K34" s="32">
        <f t="shared" si="19"/>
        <v>1</v>
      </c>
      <c r="L34" s="33"/>
      <c r="M34" s="33">
        <f t="shared" si="20"/>
        <v>170</v>
      </c>
      <c r="N34" s="34">
        <f t="shared" si="21"/>
        <v>2550</v>
      </c>
      <c r="R34" s="37"/>
      <c r="S34" s="38"/>
      <c r="T34" s="37"/>
      <c r="U34" s="37"/>
      <c r="V34" s="37"/>
      <c r="W34" s="37"/>
      <c r="X34" s="37"/>
      <c r="Y34" s="37"/>
      <c r="Z34" s="37"/>
      <c r="AA34" s="37"/>
      <c r="AB34" s="37"/>
    </row>
    <row r="35" s="1" customFormat="1" spans="1:28">
      <c r="A35" s="15">
        <v>8</v>
      </c>
      <c r="B35" s="16"/>
      <c r="C35" s="17">
        <v>80</v>
      </c>
      <c r="D35" s="18">
        <v>0.5</v>
      </c>
      <c r="E35" s="18"/>
      <c r="F35" s="18"/>
      <c r="G35" s="18"/>
      <c r="H35" s="18">
        <v>1</v>
      </c>
      <c r="I35" s="18"/>
      <c r="J35" s="31">
        <v>8</v>
      </c>
      <c r="K35" s="32">
        <f t="shared" si="19"/>
        <v>1</v>
      </c>
      <c r="L35" s="33"/>
      <c r="M35" s="33">
        <f t="shared" si="20"/>
        <v>170</v>
      </c>
      <c r="N35" s="34">
        <f t="shared" si="21"/>
        <v>2550</v>
      </c>
      <c r="R35" s="37"/>
      <c r="S35" s="38"/>
      <c r="T35" s="37"/>
      <c r="U35" s="37"/>
      <c r="V35" s="37"/>
      <c r="W35" s="37"/>
      <c r="X35" s="37"/>
      <c r="Y35" s="37"/>
      <c r="Z35" s="37"/>
      <c r="AA35" s="37"/>
      <c r="AB35" s="37"/>
    </row>
    <row r="36" s="1" customFormat="1" spans="1:28">
      <c r="A36" s="15">
        <v>9</v>
      </c>
      <c r="B36" s="16"/>
      <c r="C36" s="17">
        <v>80</v>
      </c>
      <c r="D36" s="18">
        <v>0.5</v>
      </c>
      <c r="E36" s="18"/>
      <c r="F36" s="18"/>
      <c r="G36" s="18"/>
      <c r="H36" s="18">
        <v>1</v>
      </c>
      <c r="I36" s="18"/>
      <c r="J36" s="31">
        <v>8</v>
      </c>
      <c r="K36" s="32">
        <f t="shared" si="19"/>
        <v>1</v>
      </c>
      <c r="L36" s="33"/>
      <c r="M36" s="33">
        <f t="shared" si="20"/>
        <v>170</v>
      </c>
      <c r="N36" s="34">
        <f t="shared" si="21"/>
        <v>2550</v>
      </c>
      <c r="R36" s="37"/>
      <c r="S36" s="38"/>
      <c r="T36" s="37"/>
      <c r="U36" s="37"/>
      <c r="V36" s="37"/>
      <c r="W36" s="37"/>
      <c r="X36" s="39"/>
      <c r="Y36" s="37"/>
      <c r="Z36" s="37"/>
      <c r="AA36" s="37"/>
      <c r="AB36" s="37"/>
    </row>
    <row r="37" s="1" customFormat="1" spans="1:28">
      <c r="A37" s="15">
        <v>10</v>
      </c>
      <c r="B37" s="16"/>
      <c r="C37" s="17">
        <v>80</v>
      </c>
      <c r="D37" s="18">
        <v>0.5</v>
      </c>
      <c r="E37" s="18"/>
      <c r="F37" s="18"/>
      <c r="G37" s="18"/>
      <c r="H37" s="18">
        <v>1</v>
      </c>
      <c r="I37" s="18"/>
      <c r="J37" s="31">
        <v>8</v>
      </c>
      <c r="K37" s="32">
        <f t="shared" si="19"/>
        <v>1</v>
      </c>
      <c r="L37" s="33"/>
      <c r="M37" s="33">
        <f t="shared" si="20"/>
        <v>170</v>
      </c>
      <c r="N37" s="34">
        <f t="shared" si="21"/>
        <v>2550</v>
      </c>
      <c r="W37" s="37"/>
      <c r="X37" s="37"/>
      <c r="Y37" s="37"/>
      <c r="Z37" s="37"/>
      <c r="AA37" s="37"/>
      <c r="AB37" s="37"/>
    </row>
    <row r="38" s="1" customFormat="1" spans="1:28">
      <c r="A38" s="15">
        <v>11</v>
      </c>
      <c r="B38" s="16"/>
      <c r="C38" s="17">
        <v>80</v>
      </c>
      <c r="D38" s="18">
        <v>0.5</v>
      </c>
      <c r="E38" s="18"/>
      <c r="F38" s="18"/>
      <c r="G38" s="18"/>
      <c r="H38" s="18">
        <v>1</v>
      </c>
      <c r="I38" s="18"/>
      <c r="J38" s="31">
        <v>8</v>
      </c>
      <c r="K38" s="32">
        <f t="shared" si="19"/>
        <v>1</v>
      </c>
      <c r="L38" s="33"/>
      <c r="M38" s="33">
        <f t="shared" si="20"/>
        <v>170</v>
      </c>
      <c r="N38" s="34">
        <f t="shared" si="21"/>
        <v>2550</v>
      </c>
      <c r="W38" s="37"/>
      <c r="X38" s="37"/>
      <c r="Y38" s="37"/>
      <c r="Z38" s="37"/>
      <c r="AA38" s="37"/>
      <c r="AB38" s="37"/>
    </row>
    <row r="39" s="1" customFormat="1" spans="1:28">
      <c r="A39" s="15">
        <v>12</v>
      </c>
      <c r="B39" s="16"/>
      <c r="C39" s="17">
        <v>80</v>
      </c>
      <c r="D39" s="18">
        <v>0.5</v>
      </c>
      <c r="E39" s="18"/>
      <c r="F39" s="18"/>
      <c r="G39" s="18"/>
      <c r="H39" s="18">
        <v>1</v>
      </c>
      <c r="I39" s="18"/>
      <c r="J39" s="31">
        <v>8</v>
      </c>
      <c r="K39" s="32">
        <f t="shared" si="19"/>
        <v>1</v>
      </c>
      <c r="L39" s="33"/>
      <c r="M39" s="33">
        <f t="shared" si="20"/>
        <v>170</v>
      </c>
      <c r="N39" s="34">
        <f t="shared" si="21"/>
        <v>2550</v>
      </c>
      <c r="W39" s="37"/>
      <c r="X39" s="37"/>
      <c r="Y39" s="37"/>
      <c r="Z39" s="37"/>
      <c r="AA39" s="37"/>
      <c r="AB39" s="37"/>
    </row>
    <row r="40" s="1" customFormat="1" spans="1:28">
      <c r="A40" s="15">
        <v>13</v>
      </c>
      <c r="B40" s="16"/>
      <c r="C40" s="17">
        <v>80</v>
      </c>
      <c r="D40" s="18">
        <v>0.5</v>
      </c>
      <c r="E40" s="18"/>
      <c r="F40" s="18"/>
      <c r="G40" s="18"/>
      <c r="H40" s="18">
        <v>1</v>
      </c>
      <c r="I40" s="18"/>
      <c r="J40" s="31">
        <v>8</v>
      </c>
      <c r="K40" s="32">
        <f t="shared" si="19"/>
        <v>1</v>
      </c>
      <c r="L40" s="33"/>
      <c r="M40" s="33">
        <f t="shared" si="20"/>
        <v>170</v>
      </c>
      <c r="N40" s="34">
        <f t="shared" si="21"/>
        <v>2550</v>
      </c>
      <c r="W40" s="37"/>
      <c r="X40" s="37"/>
      <c r="Y40" s="37"/>
      <c r="Z40" s="37"/>
      <c r="AA40" s="37"/>
      <c r="AB40" s="37"/>
    </row>
    <row r="41" s="1" customFormat="1" spans="1:28">
      <c r="A41" s="15">
        <v>14</v>
      </c>
      <c r="B41" s="16"/>
      <c r="C41" s="17">
        <v>80</v>
      </c>
      <c r="D41" s="18">
        <v>0.5</v>
      </c>
      <c r="E41" s="18"/>
      <c r="F41" s="18"/>
      <c r="G41" s="18"/>
      <c r="H41" s="18">
        <v>1</v>
      </c>
      <c r="I41" s="18"/>
      <c r="J41" s="31">
        <v>8</v>
      </c>
      <c r="K41" s="32">
        <f t="shared" si="19"/>
        <v>1</v>
      </c>
      <c r="L41" s="33"/>
      <c r="M41" s="33">
        <f t="shared" si="20"/>
        <v>170</v>
      </c>
      <c r="N41" s="34">
        <f t="shared" si="21"/>
        <v>2550</v>
      </c>
      <c r="W41" s="37"/>
      <c r="X41" s="37"/>
      <c r="Y41" s="37"/>
      <c r="Z41" s="37"/>
      <c r="AA41" s="37"/>
      <c r="AB41" s="37"/>
    </row>
    <row r="42" s="1" customFormat="1" spans="1:28">
      <c r="A42" s="15">
        <v>15</v>
      </c>
      <c r="B42" s="16"/>
      <c r="C42" s="17">
        <v>80</v>
      </c>
      <c r="D42" s="18">
        <v>0.5</v>
      </c>
      <c r="E42" s="18"/>
      <c r="F42" s="18"/>
      <c r="G42" s="18"/>
      <c r="H42" s="18">
        <v>1</v>
      </c>
      <c r="I42" s="18"/>
      <c r="J42" s="31">
        <v>8</v>
      </c>
      <c r="K42" s="32">
        <f t="shared" si="19"/>
        <v>1</v>
      </c>
      <c r="L42" s="33"/>
      <c r="M42" s="33">
        <f t="shared" si="20"/>
        <v>170</v>
      </c>
      <c r="N42" s="34">
        <f t="shared" si="21"/>
        <v>2550</v>
      </c>
      <c r="U42" s="37" t="s">
        <v>142</v>
      </c>
      <c r="W42" s="37"/>
      <c r="X42" s="37"/>
      <c r="Y42" s="37"/>
      <c r="Z42" s="37"/>
      <c r="AA42" s="37"/>
      <c r="AB42" s="37"/>
    </row>
    <row r="43" s="1" customFormat="1" ht="14.75" spans="1:28">
      <c r="A43" s="19">
        <v>16</v>
      </c>
      <c r="B43" s="20"/>
      <c r="C43" s="17">
        <v>80</v>
      </c>
      <c r="D43" s="18">
        <v>0.5</v>
      </c>
      <c r="E43" s="18"/>
      <c r="F43" s="18"/>
      <c r="G43" s="18"/>
      <c r="H43" s="18">
        <v>1</v>
      </c>
      <c r="I43" s="18"/>
      <c r="J43" s="31">
        <v>8</v>
      </c>
      <c r="K43" s="32">
        <f t="shared" si="19"/>
        <v>1</v>
      </c>
      <c r="L43" s="36"/>
      <c r="M43" s="33">
        <f t="shared" si="20"/>
        <v>170</v>
      </c>
      <c r="N43" s="34">
        <f t="shared" si="21"/>
        <v>2550</v>
      </c>
      <c r="U43" s="37">
        <f>SUM(R28:S43)*3</f>
        <v>7560</v>
      </c>
      <c r="W43" s="37"/>
      <c r="X43" s="37"/>
      <c r="Y43" s="37"/>
      <c r="Z43" s="37"/>
      <c r="AA43" s="37"/>
      <c r="AB43" s="37"/>
    </row>
    <row r="44" s="1" customFormat="1" spans="23:28">
      <c r="W44" s="37"/>
      <c r="X44" s="37"/>
      <c r="Y44" s="37"/>
      <c r="Z44" s="37"/>
      <c r="AA44" s="37"/>
      <c r="AB44" s="37"/>
    </row>
    <row r="45" s="1" customFormat="1" spans="14:28">
      <c r="N45" s="1">
        <f>SUM(N28:N44)</f>
        <v>40800</v>
      </c>
      <c r="W45" s="37"/>
      <c r="X45" s="37"/>
      <c r="Y45" s="37"/>
      <c r="Z45" s="37"/>
      <c r="AA45" s="37"/>
      <c r="AB45" s="37"/>
    </row>
  </sheetData>
  <mergeCells count="9">
    <mergeCell ref="D26:F26"/>
    <mergeCell ref="H26:I26"/>
    <mergeCell ref="A26:A27"/>
    <mergeCell ref="B26:B27"/>
    <mergeCell ref="C26:C27"/>
    <mergeCell ref="J26:J27"/>
    <mergeCell ref="K26:K27"/>
    <mergeCell ref="M26:M27"/>
    <mergeCell ref="N26:N27"/>
  </mergeCells>
  <dataValidations count="2">
    <dataValidation allowBlank="1" showInputMessage="1" showErrorMessage="1" sqref="C28:C43 K28:L43"/>
    <dataValidation type="list" showInputMessage="1" showErrorMessage="1" sqref="J28:J43">
      <formula1>"8,12"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第一年</vt:lpstr>
      <vt:lpstr>第二年</vt:lpstr>
      <vt:lpstr>第三年</vt:lpstr>
      <vt:lpstr>第四年</vt:lpstr>
      <vt:lpstr>原材料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Aix</cp:lastModifiedBy>
  <dcterms:created xsi:type="dcterms:W3CDTF">2024-09-13T02:55:00Z</dcterms:created>
  <dcterms:modified xsi:type="dcterms:W3CDTF">2025-05-23T10:35:09Z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B0861DABE411488D8A57C3314DBAC2B3_12</vt:lpwstr>
  </property>
</Properties>
</file>